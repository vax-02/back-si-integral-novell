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LIFICACIONES 2022\"/>
    </mc:Choice>
  </mc:AlternateContent>
  <bookViews>
    <workbookView xWindow="0" yWindow="420" windowWidth="10640" windowHeight="6020" tabRatio="702" firstSheet="6" activeTab="9"/>
  </bookViews>
  <sheets>
    <sheet name="Centralizador 3er año Maña" sheetId="53" r:id="rId1"/>
    <sheet name="COA-301" sheetId="45" r:id="rId2"/>
    <sheet name="COC-302" sheetId="46" r:id="rId3"/>
    <sheet name="COG-303" sheetId="47" r:id="rId4"/>
    <sheet name="CEP.304" sheetId="48" r:id="rId5"/>
    <sheet name="CSH-305" sheetId="49" r:id="rId6"/>
    <sheet name="GCI-306" sheetId="50" r:id="rId7"/>
    <sheet name="AEF-307" sheetId="51" r:id="rId8"/>
    <sheet name="TMG-308" sheetId="72" r:id="rId9"/>
    <sheet name="Centralizador 3er año Tarde" sheetId="54" r:id="rId10"/>
    <sheet name="COA-301 T" sheetId="55" r:id="rId11"/>
    <sheet name="COC-302 T" sheetId="56" r:id="rId12"/>
    <sheet name="COG-303 T" sheetId="57" r:id="rId13"/>
    <sheet name="CEP-304 T" sheetId="58" r:id="rId14"/>
    <sheet name="CSH-305 T" sheetId="59" r:id="rId15"/>
    <sheet name="GCI-306 T" sheetId="60" r:id="rId16"/>
    <sheet name="AEF-307 T" sheetId="61" r:id="rId17"/>
    <sheet name="TMG-308 T" sheetId="73" r:id="rId18"/>
    <sheet name="Centralizador 3er año Noche" sheetId="63" r:id="rId19"/>
    <sheet name="COA-301 N" sheetId="64" r:id="rId20"/>
    <sheet name="COC-302 N" sheetId="65" r:id="rId21"/>
    <sheet name="COG-303 N" sheetId="66" r:id="rId22"/>
    <sheet name="CEP-304 N" sheetId="67" r:id="rId23"/>
    <sheet name="CSH-305 N" sheetId="68" r:id="rId24"/>
    <sheet name="GCI-306 N" sheetId="69" r:id="rId25"/>
    <sheet name="AEF-307 N" sheetId="70" r:id="rId26"/>
    <sheet name="TMG-308 N" sheetId="74" r:id="rId27"/>
    <sheet name="Det-Resultado exa-grado maña" sheetId="75" r:id="rId28"/>
    <sheet name="Det-Resultado exa-grado tarde" sheetId="76" r:id="rId29"/>
    <sheet name="Det-Resultado exa-grado noche" sheetId="78" r:id="rId30"/>
    <sheet name="Lista" sheetId="5" state="hidden" r:id="rId31"/>
    <sheet name="Hoja1" sheetId="4" state="hidden" r:id="rId32"/>
  </sheets>
  <externalReferences>
    <externalReference r:id="rId33"/>
    <externalReference r:id="rId34"/>
    <externalReference r:id="rId35"/>
  </externalReferences>
  <definedNames>
    <definedName name="_xlnm.Print_Area" localSheetId="7">'AEF-307'!$A$1:$K$66</definedName>
    <definedName name="_xlnm.Print_Area" localSheetId="25">'AEF-307 N'!$A$1:$K$66</definedName>
    <definedName name="_xlnm.Print_Area" localSheetId="16">'AEF-307 T'!$A$1:$K$66</definedName>
    <definedName name="_xlnm.Print_Area" localSheetId="0">'Centralizador 3er año Maña'!$A$1:$V$59</definedName>
    <definedName name="_xlnm.Print_Area" localSheetId="18">'Centralizador 3er año Noche'!$A$1:$V$59</definedName>
    <definedName name="_xlnm.Print_Area" localSheetId="9">'Centralizador 3er año Tarde'!$A$1:$V$59</definedName>
    <definedName name="_xlnm.Print_Area" localSheetId="4">'CEP.304'!$A$1:$K$66</definedName>
    <definedName name="_xlnm.Print_Area" localSheetId="22">'CEP-304 N'!$A$1:$K$66</definedName>
    <definedName name="_xlnm.Print_Area" localSheetId="13">'CEP-304 T'!$A$1:$K$66</definedName>
    <definedName name="_xlnm.Print_Area" localSheetId="1">'COA-301'!$A$1:$K$66</definedName>
    <definedName name="_xlnm.Print_Area" localSheetId="19">'COA-301 N'!$A$1:$K$66</definedName>
    <definedName name="_xlnm.Print_Area" localSheetId="10">'COA-301 T'!$A$1:$K$66</definedName>
    <definedName name="_xlnm.Print_Area" localSheetId="2">'COC-302'!$A$1:$K$66</definedName>
    <definedName name="_xlnm.Print_Area" localSheetId="20">'COC-302 N'!$A$1:$K$66</definedName>
    <definedName name="_xlnm.Print_Area" localSheetId="11">'COC-302 T'!$A$1:$K$66</definedName>
    <definedName name="_xlnm.Print_Area" localSheetId="3">'COG-303'!$A$1:$K$66</definedName>
    <definedName name="_xlnm.Print_Area" localSheetId="21">'COG-303 N'!$A$1:$K$66</definedName>
    <definedName name="_xlnm.Print_Area" localSheetId="12">'COG-303 T'!$A$1:$K$66</definedName>
    <definedName name="_xlnm.Print_Area" localSheetId="5">'CSH-305'!$A$1:$K$66</definedName>
    <definedName name="_xlnm.Print_Area" localSheetId="23">'CSH-305 N'!$A$1:$K$66</definedName>
    <definedName name="_xlnm.Print_Area" localSheetId="14">'CSH-305 T'!$A$1:$K$66</definedName>
    <definedName name="_xlnm.Print_Area" localSheetId="27">'Det-Resultado exa-grado maña'!$A$1:$I$65</definedName>
    <definedName name="_xlnm.Print_Area" localSheetId="29">'Det-Resultado exa-grado noche'!$A$1:$I$65</definedName>
    <definedName name="_xlnm.Print_Area" localSheetId="28">'Det-Resultado exa-grado tarde'!$A$1:$I$65</definedName>
    <definedName name="_xlnm.Print_Area" localSheetId="6">'GCI-306'!$A$1:$K$66</definedName>
    <definedName name="_xlnm.Print_Area" localSheetId="24">'GCI-306 N'!$A$1:$K$66</definedName>
    <definedName name="_xlnm.Print_Area" localSheetId="15">'GCI-306 T'!$A$1:$K$66</definedName>
    <definedName name="_xlnm.Print_Area" localSheetId="8">'TMG-308'!$A$1:$K$66</definedName>
    <definedName name="_xlnm.Print_Area" localSheetId="26">'TMG-308 N'!$A$1:$K$66</definedName>
    <definedName name="_xlnm.Print_Area" localSheetId="17">'TMG-308 T'!$A$1:$K$66</definedName>
    <definedName name="Institutos">Lista!$A$2:$A$34</definedName>
  </definedNames>
  <calcPr calcId="152511"/>
</workbook>
</file>

<file path=xl/calcChain.xml><?xml version="1.0" encoding="utf-8"?>
<calcChain xmlns="http://schemas.openxmlformats.org/spreadsheetml/2006/main">
  <c r="G15" i="54" l="1"/>
  <c r="H15" i="54"/>
  <c r="I15" i="54"/>
  <c r="J15" i="54"/>
  <c r="K15" i="54"/>
  <c r="L15" i="54"/>
  <c r="M15" i="54"/>
  <c r="N15" i="54"/>
  <c r="G16" i="54"/>
  <c r="H16" i="54"/>
  <c r="I16" i="54"/>
  <c r="J16" i="54"/>
  <c r="K16" i="54"/>
  <c r="L16" i="54"/>
  <c r="M16" i="54"/>
  <c r="N16" i="54"/>
  <c r="G17" i="54"/>
  <c r="H17" i="54"/>
  <c r="I17" i="54"/>
  <c r="J17" i="54"/>
  <c r="K17" i="54"/>
  <c r="L17" i="54"/>
  <c r="M17" i="54"/>
  <c r="N17" i="54"/>
  <c r="G18" i="54"/>
  <c r="H18" i="54"/>
  <c r="I18" i="54"/>
  <c r="J18" i="54"/>
  <c r="K18" i="54"/>
  <c r="L18" i="54"/>
  <c r="M18" i="54"/>
  <c r="N18" i="54"/>
  <c r="G19" i="54"/>
  <c r="H19" i="54"/>
  <c r="I19" i="54"/>
  <c r="J19" i="54"/>
  <c r="K19" i="54"/>
  <c r="L19" i="54"/>
  <c r="M19" i="54"/>
  <c r="N19" i="54"/>
  <c r="G20" i="54"/>
  <c r="H20" i="54"/>
  <c r="I20" i="54"/>
  <c r="J20" i="54"/>
  <c r="K20" i="54"/>
  <c r="L20" i="54"/>
  <c r="M20" i="54"/>
  <c r="N20" i="54"/>
  <c r="G21" i="54"/>
  <c r="H21" i="54"/>
  <c r="I21" i="54"/>
  <c r="J21" i="54"/>
  <c r="K21" i="54"/>
  <c r="L21" i="54"/>
  <c r="M21" i="54"/>
  <c r="N21" i="54"/>
  <c r="G22" i="54"/>
  <c r="H22" i="54"/>
  <c r="I22" i="54"/>
  <c r="J22" i="54"/>
  <c r="K22" i="54"/>
  <c r="L22" i="54"/>
  <c r="M22" i="54"/>
  <c r="N22" i="54"/>
  <c r="G23" i="54"/>
  <c r="H23" i="54"/>
  <c r="I23" i="54"/>
  <c r="J23" i="54"/>
  <c r="K23" i="54"/>
  <c r="L23" i="54"/>
  <c r="M23" i="54"/>
  <c r="N23" i="54"/>
  <c r="G24" i="54"/>
  <c r="H24" i="54"/>
  <c r="I24" i="54"/>
  <c r="J24" i="54"/>
  <c r="K24" i="54"/>
  <c r="L24" i="54"/>
  <c r="M24" i="54"/>
  <c r="N24" i="54"/>
  <c r="H25" i="54"/>
  <c r="J25" i="54"/>
  <c r="K25" i="54"/>
  <c r="L25" i="54"/>
  <c r="N25" i="54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0" i="63"/>
  <c r="L32" i="63"/>
  <c r="L33" i="63"/>
  <c r="L34" i="63"/>
  <c r="L35" i="63"/>
  <c r="L36" i="63"/>
  <c r="L37" i="63"/>
  <c r="G15" i="63"/>
  <c r="G16" i="63"/>
  <c r="G17" i="63"/>
  <c r="G18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H15" i="63"/>
  <c r="I15" i="63"/>
  <c r="J15" i="63"/>
  <c r="K15" i="63"/>
  <c r="M15" i="63"/>
  <c r="N15" i="63"/>
  <c r="H16" i="63"/>
  <c r="I16" i="63"/>
  <c r="J16" i="63"/>
  <c r="K16" i="63"/>
  <c r="M16" i="63"/>
  <c r="H17" i="63"/>
  <c r="I17" i="63"/>
  <c r="J17" i="63"/>
  <c r="K17" i="63"/>
  <c r="M17" i="63"/>
  <c r="N17" i="63"/>
  <c r="H18" i="63"/>
  <c r="I18" i="63"/>
  <c r="J18" i="63"/>
  <c r="K18" i="63"/>
  <c r="M18" i="63"/>
  <c r="N18" i="63"/>
  <c r="H19" i="63"/>
  <c r="I19" i="63"/>
  <c r="J19" i="63"/>
  <c r="K19" i="63"/>
  <c r="N19" i="63"/>
  <c r="H20" i="63"/>
  <c r="I20" i="63"/>
  <c r="J20" i="63"/>
  <c r="K20" i="63"/>
  <c r="M20" i="63"/>
  <c r="N20" i="63"/>
  <c r="H21" i="63"/>
  <c r="I21" i="63"/>
  <c r="J21" i="63"/>
  <c r="K21" i="63"/>
  <c r="M21" i="63"/>
  <c r="N21" i="63"/>
  <c r="H22" i="63"/>
  <c r="I22" i="63"/>
  <c r="J22" i="63"/>
  <c r="K22" i="63"/>
  <c r="N22" i="63"/>
  <c r="H23" i="63"/>
  <c r="I23" i="63"/>
  <c r="J23" i="63"/>
  <c r="K23" i="63"/>
  <c r="M23" i="63"/>
  <c r="N23" i="63"/>
  <c r="H24" i="63"/>
  <c r="I24" i="63"/>
  <c r="J24" i="63"/>
  <c r="K24" i="63"/>
  <c r="M24" i="63"/>
  <c r="N24" i="63"/>
  <c r="H25" i="63"/>
  <c r="I25" i="63"/>
  <c r="J25" i="63"/>
  <c r="K25" i="63"/>
  <c r="M25" i="63"/>
  <c r="N25" i="63"/>
  <c r="H26" i="63"/>
  <c r="I26" i="63"/>
  <c r="J26" i="63"/>
  <c r="K26" i="63"/>
  <c r="M26" i="63"/>
  <c r="N26" i="63"/>
  <c r="H27" i="63"/>
  <c r="I27" i="63"/>
  <c r="J27" i="63"/>
  <c r="K27" i="63"/>
  <c r="M27" i="63"/>
  <c r="N27" i="63"/>
  <c r="H28" i="63"/>
  <c r="I28" i="63"/>
  <c r="J28" i="63"/>
  <c r="K28" i="63"/>
  <c r="M28" i="63"/>
  <c r="N28" i="63"/>
  <c r="H29" i="63"/>
  <c r="I29" i="63"/>
  <c r="J29" i="63"/>
  <c r="K29" i="63"/>
  <c r="H30" i="63"/>
  <c r="I30" i="63"/>
  <c r="J30" i="63"/>
  <c r="K30" i="63"/>
  <c r="M30" i="63"/>
  <c r="N30" i="63"/>
  <c r="H31" i="63"/>
  <c r="J31" i="63"/>
  <c r="K31" i="63"/>
  <c r="M31" i="63"/>
  <c r="N31" i="63"/>
  <c r="H32" i="63"/>
  <c r="I32" i="63"/>
  <c r="J32" i="63"/>
  <c r="K32" i="63"/>
  <c r="M32" i="63"/>
  <c r="N32" i="63"/>
  <c r="H33" i="63"/>
  <c r="I33" i="63"/>
  <c r="J33" i="63"/>
  <c r="K33" i="63"/>
  <c r="M33" i="63"/>
  <c r="N33" i="63"/>
  <c r="H34" i="63"/>
  <c r="J34" i="63"/>
  <c r="K34" i="63"/>
  <c r="N34" i="63"/>
  <c r="H35" i="63"/>
  <c r="I35" i="63"/>
  <c r="J35" i="63"/>
  <c r="K35" i="63"/>
  <c r="H36" i="63"/>
  <c r="I36" i="63"/>
  <c r="J36" i="63"/>
  <c r="K36" i="63"/>
  <c r="H37" i="63"/>
  <c r="I37" i="63"/>
  <c r="J37" i="63"/>
  <c r="K37" i="63"/>
  <c r="M37" i="63"/>
  <c r="N37" i="63"/>
  <c r="H38" i="63"/>
  <c r="I38" i="63"/>
  <c r="J38" i="63"/>
  <c r="K38" i="63"/>
  <c r="M38" i="63"/>
  <c r="N38" i="63"/>
  <c r="D33" i="78" l="1"/>
  <c r="D34" i="78"/>
  <c r="D30" i="78"/>
  <c r="D31" i="78"/>
  <c r="D32" i="78"/>
  <c r="D24" i="78"/>
  <c r="D25" i="78"/>
  <c r="D26" i="78"/>
  <c r="D27" i="78"/>
  <c r="D28" i="78"/>
  <c r="D29" i="78"/>
  <c r="J10" i="56" l="1"/>
  <c r="H33" i="74"/>
  <c r="J33" i="74" s="1"/>
  <c r="H34" i="74"/>
  <c r="J34" i="74" s="1"/>
  <c r="H35" i="74"/>
  <c r="J35" i="74" s="1"/>
  <c r="H36" i="74"/>
  <c r="J36" i="74" s="1"/>
  <c r="H37" i="74"/>
  <c r="J37" i="74" s="1"/>
  <c r="D33" i="74"/>
  <c r="D34" i="74"/>
  <c r="D35" i="74"/>
  <c r="D36" i="74"/>
  <c r="D37" i="74"/>
  <c r="H33" i="70" l="1"/>
  <c r="H34" i="70"/>
  <c r="J34" i="70" s="1"/>
  <c r="H35" i="70"/>
  <c r="J35" i="70" s="1"/>
  <c r="H36" i="70"/>
  <c r="J36" i="70" s="1"/>
  <c r="H37" i="70"/>
  <c r="V38" i="63" s="1"/>
  <c r="D33" i="70"/>
  <c r="D34" i="70"/>
  <c r="D35" i="70"/>
  <c r="D36" i="70"/>
  <c r="D37" i="70"/>
  <c r="H33" i="69"/>
  <c r="H34" i="69"/>
  <c r="H35" i="69"/>
  <c r="H36" i="69"/>
  <c r="J36" i="69" s="1"/>
  <c r="H37" i="69"/>
  <c r="J33" i="69"/>
  <c r="J34" i="69"/>
  <c r="J35" i="69"/>
  <c r="J37" i="69"/>
  <c r="D33" i="69"/>
  <c r="D34" i="69"/>
  <c r="D35" i="69"/>
  <c r="D36" i="69"/>
  <c r="D37" i="69"/>
  <c r="H33" i="68"/>
  <c r="J33" i="68" s="1"/>
  <c r="H34" i="68"/>
  <c r="J34" i="68" s="1"/>
  <c r="H35" i="68"/>
  <c r="J35" i="68" s="1"/>
  <c r="H36" i="68"/>
  <c r="J36" i="68" s="1"/>
  <c r="H37" i="68"/>
  <c r="J37" i="68" s="1"/>
  <c r="D37" i="68"/>
  <c r="D33" i="68"/>
  <c r="D34" i="68"/>
  <c r="D35" i="68"/>
  <c r="D36" i="68"/>
  <c r="H33" i="67"/>
  <c r="H34" i="67"/>
  <c r="J34" i="67" s="1"/>
  <c r="H35" i="67"/>
  <c r="J35" i="67" s="1"/>
  <c r="H36" i="67"/>
  <c r="J36" i="67" s="1"/>
  <c r="H37" i="67"/>
  <c r="D37" i="67"/>
  <c r="D33" i="67"/>
  <c r="D34" i="67"/>
  <c r="D35" i="67"/>
  <c r="D36" i="67"/>
  <c r="H33" i="66"/>
  <c r="J33" i="66" s="1"/>
  <c r="H34" i="66"/>
  <c r="J34" i="66" s="1"/>
  <c r="H35" i="66"/>
  <c r="J35" i="66" s="1"/>
  <c r="H36" i="66"/>
  <c r="H37" i="66"/>
  <c r="J37" i="66" s="1"/>
  <c r="D33" i="66"/>
  <c r="D34" i="66"/>
  <c r="D35" i="66"/>
  <c r="D36" i="66"/>
  <c r="D37" i="66"/>
  <c r="H33" i="65"/>
  <c r="J33" i="65" s="1"/>
  <c r="H34" i="65"/>
  <c r="J34" i="65" s="1"/>
  <c r="H35" i="65"/>
  <c r="H36" i="65"/>
  <c r="J36" i="65" s="1"/>
  <c r="H37" i="65"/>
  <c r="J37" i="65"/>
  <c r="D33" i="65"/>
  <c r="D34" i="65"/>
  <c r="D35" i="65"/>
  <c r="D36" i="65"/>
  <c r="D37" i="65"/>
  <c r="H34" i="64"/>
  <c r="J34" i="64" s="1"/>
  <c r="H35" i="64"/>
  <c r="J35" i="64" s="1"/>
  <c r="H36" i="64"/>
  <c r="J36" i="64" s="1"/>
  <c r="H37" i="64"/>
  <c r="J37" i="64" s="1"/>
  <c r="H33" i="64"/>
  <c r="J33" i="64" s="1"/>
  <c r="H21" i="64"/>
  <c r="H22" i="64"/>
  <c r="D34" i="63"/>
  <c r="D35" i="63"/>
  <c r="D36" i="63"/>
  <c r="D37" i="63"/>
  <c r="D38" i="63"/>
  <c r="H13" i="55"/>
  <c r="H14" i="55"/>
  <c r="H15" i="55"/>
  <c r="H16" i="55"/>
  <c r="H17" i="55"/>
  <c r="H18" i="55"/>
  <c r="H19" i="55"/>
  <c r="H20" i="55"/>
  <c r="H21" i="55"/>
  <c r="H22" i="55"/>
  <c r="H23" i="55"/>
  <c r="H24" i="55"/>
  <c r="J33" i="70" l="1"/>
  <c r="V35" i="63"/>
  <c r="J37" i="70"/>
  <c r="V34" i="63"/>
  <c r="V37" i="63"/>
  <c r="J37" i="67"/>
  <c r="J33" i="67"/>
  <c r="J36" i="66"/>
  <c r="J35" i="65"/>
  <c r="V36" i="63" l="1"/>
  <c r="H25" i="75"/>
  <c r="H26" i="75"/>
  <c r="H27" i="75"/>
  <c r="H28" i="75"/>
  <c r="H29" i="75"/>
  <c r="H30" i="75"/>
  <c r="J21" i="64" l="1"/>
  <c r="J17" i="55"/>
  <c r="J21" i="55"/>
  <c r="J14" i="55"/>
  <c r="J15" i="55"/>
  <c r="J16" i="55"/>
  <c r="J18" i="55"/>
  <c r="J19" i="55"/>
  <c r="J20" i="55"/>
  <c r="J22" i="55"/>
  <c r="J23" i="55"/>
  <c r="J24" i="55"/>
  <c r="J13" i="55"/>
  <c r="H20" i="59" l="1"/>
  <c r="J20" i="59" s="1"/>
  <c r="H18" i="74" l="1"/>
  <c r="H19" i="74"/>
  <c r="J19" i="74" s="1"/>
  <c r="H20" i="74"/>
  <c r="J20" i="74" s="1"/>
  <c r="H21" i="74"/>
  <c r="J21" i="74" s="1"/>
  <c r="H22" i="74"/>
  <c r="H23" i="74"/>
  <c r="J23" i="74" s="1"/>
  <c r="H24" i="74"/>
  <c r="J24" i="74" s="1"/>
  <c r="H25" i="74"/>
  <c r="J25" i="74" s="1"/>
  <c r="H26" i="74"/>
  <c r="H27" i="74"/>
  <c r="J27" i="74" s="1"/>
  <c r="H28" i="74"/>
  <c r="J28" i="74" s="1"/>
  <c r="H29" i="74"/>
  <c r="H30" i="74"/>
  <c r="H31" i="74"/>
  <c r="J31" i="74" s="1"/>
  <c r="H32" i="74"/>
  <c r="J32" i="74" s="1"/>
  <c r="D18" i="74"/>
  <c r="D19" i="74"/>
  <c r="D20" i="74"/>
  <c r="D21" i="74"/>
  <c r="D22" i="74"/>
  <c r="D23" i="74"/>
  <c r="D24" i="74"/>
  <c r="D25" i="74"/>
  <c r="D26" i="74"/>
  <c r="D27" i="74"/>
  <c r="D28" i="74"/>
  <c r="D29" i="74"/>
  <c r="D30" i="74"/>
  <c r="D31" i="74"/>
  <c r="D32" i="74"/>
  <c r="H18" i="70"/>
  <c r="H19" i="70"/>
  <c r="J19" i="70" s="1"/>
  <c r="H20" i="70"/>
  <c r="J20" i="70" s="1"/>
  <c r="H21" i="70"/>
  <c r="H22" i="70"/>
  <c r="J22" i="70" s="1"/>
  <c r="H23" i="70"/>
  <c r="J23" i="70" s="1"/>
  <c r="H24" i="70"/>
  <c r="J24" i="70" s="1"/>
  <c r="H25" i="70"/>
  <c r="H26" i="70"/>
  <c r="J26" i="70" s="1"/>
  <c r="H27" i="70"/>
  <c r="H28" i="70"/>
  <c r="J28" i="70" s="1"/>
  <c r="H29" i="70"/>
  <c r="H30" i="70"/>
  <c r="J30" i="70" s="1"/>
  <c r="H31" i="70"/>
  <c r="J31" i="70" s="1"/>
  <c r="H32" i="70"/>
  <c r="J32" i="70" s="1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H18" i="69"/>
  <c r="J18" i="69" s="1"/>
  <c r="H19" i="69"/>
  <c r="H20" i="69"/>
  <c r="J20" i="69" s="1"/>
  <c r="H21" i="69"/>
  <c r="J21" i="69" s="1"/>
  <c r="H22" i="69"/>
  <c r="J22" i="69" s="1"/>
  <c r="H23" i="69"/>
  <c r="J23" i="69" s="1"/>
  <c r="H24" i="69"/>
  <c r="J24" i="69" s="1"/>
  <c r="H25" i="69"/>
  <c r="H26" i="69"/>
  <c r="J26" i="69" s="1"/>
  <c r="H27" i="69"/>
  <c r="J27" i="69" s="1"/>
  <c r="H28" i="69"/>
  <c r="J28" i="69" s="1"/>
  <c r="H29" i="69"/>
  <c r="J29" i="69" s="1"/>
  <c r="H30" i="69"/>
  <c r="J30" i="69" s="1"/>
  <c r="H31" i="69"/>
  <c r="J31" i="69" s="1"/>
  <c r="H32" i="69"/>
  <c r="J32" i="69" s="1"/>
  <c r="D18" i="69"/>
  <c r="D19" i="69"/>
  <c r="D20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H18" i="68"/>
  <c r="H19" i="68"/>
  <c r="J19" i="68" s="1"/>
  <c r="H20" i="68"/>
  <c r="J20" i="68" s="1"/>
  <c r="H21" i="68"/>
  <c r="J21" i="68" s="1"/>
  <c r="H22" i="68"/>
  <c r="J22" i="68" s="1"/>
  <c r="H23" i="68"/>
  <c r="J23" i="68" s="1"/>
  <c r="H24" i="68"/>
  <c r="J24" i="68" s="1"/>
  <c r="H25" i="68"/>
  <c r="J25" i="68" s="1"/>
  <c r="H26" i="68"/>
  <c r="J26" i="68" s="1"/>
  <c r="H27" i="68"/>
  <c r="J27" i="68" s="1"/>
  <c r="H28" i="68"/>
  <c r="J28" i="68" s="1"/>
  <c r="H29" i="68"/>
  <c r="H30" i="68"/>
  <c r="J30" i="68" s="1"/>
  <c r="H31" i="68"/>
  <c r="J31" i="68" s="1"/>
  <c r="H32" i="68"/>
  <c r="J32" i="68" s="1"/>
  <c r="D18" i="68"/>
  <c r="D19" i="68"/>
  <c r="D20" i="68"/>
  <c r="D21" i="68"/>
  <c r="D22" i="68"/>
  <c r="D23" i="68"/>
  <c r="D24" i="68"/>
  <c r="D25" i="68"/>
  <c r="D26" i="68"/>
  <c r="D27" i="68"/>
  <c r="D28" i="68"/>
  <c r="D29" i="68"/>
  <c r="D30" i="68"/>
  <c r="D31" i="68"/>
  <c r="D32" i="68"/>
  <c r="H18" i="67"/>
  <c r="J18" i="67" s="1"/>
  <c r="H19" i="67"/>
  <c r="J19" i="67" s="1"/>
  <c r="H20" i="67"/>
  <c r="J20" i="67" s="1"/>
  <c r="H21" i="67"/>
  <c r="J21" i="67" s="1"/>
  <c r="H22" i="67"/>
  <c r="J22" i="67" s="1"/>
  <c r="H23" i="67"/>
  <c r="J23" i="67" s="1"/>
  <c r="H24" i="67"/>
  <c r="J24" i="67" s="1"/>
  <c r="H25" i="67"/>
  <c r="H26" i="67"/>
  <c r="J26" i="67" s="1"/>
  <c r="H27" i="67"/>
  <c r="J27" i="67" s="1"/>
  <c r="H28" i="67"/>
  <c r="J28" i="67" s="1"/>
  <c r="H29" i="67"/>
  <c r="J29" i="67" s="1"/>
  <c r="H30" i="67"/>
  <c r="J30" i="67" s="1"/>
  <c r="H31" i="67"/>
  <c r="H32" i="67"/>
  <c r="J32" i="67" s="1"/>
  <c r="D18" i="67"/>
  <c r="D19" i="67"/>
  <c r="D20" i="67"/>
  <c r="D21" i="67"/>
  <c r="D22" i="67"/>
  <c r="D23" i="67"/>
  <c r="D24" i="67"/>
  <c r="D25" i="67"/>
  <c r="D26" i="67"/>
  <c r="D27" i="67"/>
  <c r="D28" i="67"/>
  <c r="D29" i="67"/>
  <c r="D30" i="67"/>
  <c r="D31" i="67"/>
  <c r="D32" i="67"/>
  <c r="H18" i="66"/>
  <c r="J18" i="66" s="1"/>
  <c r="H19" i="66"/>
  <c r="J19" i="66" s="1"/>
  <c r="H20" i="66"/>
  <c r="H21" i="66"/>
  <c r="J21" i="66" s="1"/>
  <c r="H22" i="66"/>
  <c r="J22" i="66" s="1"/>
  <c r="H23" i="66"/>
  <c r="J23" i="66" s="1"/>
  <c r="H24" i="66"/>
  <c r="H25" i="66"/>
  <c r="H26" i="66"/>
  <c r="J26" i="66" s="1"/>
  <c r="H27" i="66"/>
  <c r="J27" i="66" s="1"/>
  <c r="H28" i="66"/>
  <c r="H29" i="66"/>
  <c r="H30" i="66"/>
  <c r="J30" i="66" s="1"/>
  <c r="H31" i="66"/>
  <c r="H32" i="66"/>
  <c r="D18" i="66"/>
  <c r="D19" i="66"/>
  <c r="D20" i="66"/>
  <c r="D21" i="66"/>
  <c r="D22" i="66"/>
  <c r="D23" i="66"/>
  <c r="D24" i="66"/>
  <c r="D25" i="66"/>
  <c r="D26" i="66"/>
  <c r="D27" i="66"/>
  <c r="D28" i="66"/>
  <c r="D29" i="66"/>
  <c r="D30" i="66"/>
  <c r="D31" i="66"/>
  <c r="D32" i="66"/>
  <c r="H18" i="65"/>
  <c r="J18" i="65" s="1"/>
  <c r="H19" i="65"/>
  <c r="J19" i="65" s="1"/>
  <c r="H20" i="65"/>
  <c r="J20" i="65" s="1"/>
  <c r="H21" i="65"/>
  <c r="J21" i="65" s="1"/>
  <c r="H22" i="65"/>
  <c r="J22" i="65" s="1"/>
  <c r="H23" i="65"/>
  <c r="J23" i="65" s="1"/>
  <c r="H24" i="65"/>
  <c r="J24" i="65" s="1"/>
  <c r="H25" i="65"/>
  <c r="J25" i="65" s="1"/>
  <c r="H26" i="65"/>
  <c r="J26" i="65" s="1"/>
  <c r="H27" i="65"/>
  <c r="J27" i="65" s="1"/>
  <c r="H28" i="65"/>
  <c r="J28" i="65" s="1"/>
  <c r="H29" i="65"/>
  <c r="J29" i="65" s="1"/>
  <c r="H30" i="65"/>
  <c r="J30" i="65" s="1"/>
  <c r="H31" i="65"/>
  <c r="H32" i="65"/>
  <c r="J32" i="65" s="1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H18" i="64"/>
  <c r="H19" i="64"/>
  <c r="J19" i="64" s="1"/>
  <c r="H20" i="64"/>
  <c r="J20" i="64" s="1"/>
  <c r="H23" i="64"/>
  <c r="H24" i="64"/>
  <c r="J24" i="64" s="1"/>
  <c r="H25" i="64"/>
  <c r="H26" i="64"/>
  <c r="J26" i="64" s="1"/>
  <c r="H27" i="64"/>
  <c r="J27" i="64" s="1"/>
  <c r="H28" i="64"/>
  <c r="J28" i="64" s="1"/>
  <c r="H29" i="64"/>
  <c r="H30" i="64"/>
  <c r="H31" i="64"/>
  <c r="J31" i="64" s="1"/>
  <c r="H32" i="64"/>
  <c r="J32" i="64" s="1"/>
  <c r="J18" i="70" l="1"/>
  <c r="J18" i="74"/>
  <c r="V27" i="63"/>
  <c r="J21" i="70"/>
  <c r="J27" i="70"/>
  <c r="J25" i="70"/>
  <c r="J25" i="69"/>
  <c r="J18" i="68"/>
  <c r="J25" i="67"/>
  <c r="J31" i="67"/>
  <c r="J31" i="66"/>
  <c r="J25" i="66"/>
  <c r="J28" i="66"/>
  <c r="J31" i="65"/>
  <c r="J29" i="64"/>
  <c r="J25" i="64"/>
  <c r="J23" i="64"/>
  <c r="J30" i="64"/>
  <c r="J22" i="64"/>
  <c r="J18" i="64"/>
  <c r="J30" i="74"/>
  <c r="J29" i="74"/>
  <c r="J26" i="74"/>
  <c r="J22" i="74"/>
  <c r="V31" i="63"/>
  <c r="J29" i="70"/>
  <c r="V23" i="63"/>
  <c r="V20" i="63"/>
  <c r="J19" i="69"/>
  <c r="J29" i="68"/>
  <c r="J32" i="66"/>
  <c r="J29" i="66"/>
  <c r="J24" i="66"/>
  <c r="J20" i="66"/>
  <c r="V28" i="63" l="1"/>
  <c r="V22" i="63"/>
  <c r="V32" i="63"/>
  <c r="V30" i="63"/>
  <c r="V26" i="63"/>
  <c r="V24" i="63"/>
  <c r="V21" i="63"/>
  <c r="V19" i="63"/>
  <c r="V29" i="63"/>
  <c r="V25" i="63"/>
  <c r="V33" i="63"/>
  <c r="H11" i="78"/>
  <c r="H12" i="78"/>
  <c r="H13" i="78"/>
  <c r="H14" i="78"/>
  <c r="H15" i="78"/>
  <c r="H16" i="78"/>
  <c r="H17" i="78"/>
  <c r="H10" i="78"/>
  <c r="D11" i="78"/>
  <c r="D12" i="78"/>
  <c r="D13" i="78"/>
  <c r="D14" i="78"/>
  <c r="D15" i="78"/>
  <c r="D16" i="78"/>
  <c r="D17" i="78"/>
  <c r="D18" i="78"/>
  <c r="D19" i="78"/>
  <c r="D20" i="78"/>
  <c r="D21" i="78"/>
  <c r="D22" i="78"/>
  <c r="D23" i="78"/>
  <c r="D10" i="78"/>
  <c r="H11" i="76"/>
  <c r="H12" i="76"/>
  <c r="H13" i="76"/>
  <c r="H14" i="76"/>
  <c r="H15" i="76"/>
  <c r="H16" i="76"/>
  <c r="H17" i="76"/>
  <c r="H18" i="76"/>
  <c r="H19" i="76"/>
  <c r="H20" i="76"/>
  <c r="H21" i="76"/>
  <c r="H22" i="76"/>
  <c r="H23" i="76"/>
  <c r="H10" i="76"/>
  <c r="D11" i="76"/>
  <c r="D12" i="76"/>
  <c r="D13" i="76"/>
  <c r="D14" i="76"/>
  <c r="D15" i="76"/>
  <c r="D16" i="76"/>
  <c r="D17" i="76"/>
  <c r="D18" i="76"/>
  <c r="D19" i="76"/>
  <c r="D20" i="76"/>
  <c r="D21" i="76"/>
  <c r="D10" i="76"/>
  <c r="H11" i="75"/>
  <c r="H12" i="75"/>
  <c r="H13" i="75"/>
  <c r="H14" i="75"/>
  <c r="H15" i="75"/>
  <c r="H16" i="75"/>
  <c r="H17" i="75"/>
  <c r="H18" i="75"/>
  <c r="H19" i="75"/>
  <c r="H20" i="75"/>
  <c r="H21" i="75"/>
  <c r="H22" i="75"/>
  <c r="H23" i="75"/>
  <c r="H24" i="75"/>
  <c r="H10" i="75"/>
  <c r="J10" i="64" l="1"/>
  <c r="E10" i="64"/>
  <c r="J10" i="55"/>
  <c r="E10" i="55"/>
  <c r="E8" i="74"/>
  <c r="J8" i="74"/>
  <c r="I51" i="74"/>
  <c r="H17" i="74"/>
  <c r="J17" i="74" s="1"/>
  <c r="D17" i="74"/>
  <c r="H16" i="74"/>
  <c r="D16" i="74"/>
  <c r="H15" i="74"/>
  <c r="J15" i="74" s="1"/>
  <c r="D15" i="74"/>
  <c r="H14" i="74"/>
  <c r="J14" i="74" s="1"/>
  <c r="D14" i="74"/>
  <c r="H13" i="74"/>
  <c r="J13" i="74" s="1"/>
  <c r="D13" i="74"/>
  <c r="J10" i="74"/>
  <c r="E10" i="74"/>
  <c r="E8" i="73"/>
  <c r="J8" i="73"/>
  <c r="I51" i="73"/>
  <c r="H24" i="73"/>
  <c r="D24" i="73"/>
  <c r="H23" i="73"/>
  <c r="D23" i="73"/>
  <c r="H22" i="73"/>
  <c r="D22" i="73"/>
  <c r="H21" i="73"/>
  <c r="D21" i="73"/>
  <c r="H20" i="73"/>
  <c r="D20" i="73"/>
  <c r="H19" i="73"/>
  <c r="D19" i="73"/>
  <c r="H18" i="73"/>
  <c r="D18" i="73"/>
  <c r="H17" i="73"/>
  <c r="D17" i="73"/>
  <c r="H16" i="73"/>
  <c r="D16" i="73"/>
  <c r="H15" i="73"/>
  <c r="D15" i="73"/>
  <c r="H14" i="73"/>
  <c r="D14" i="73"/>
  <c r="H13" i="73"/>
  <c r="D13" i="73"/>
  <c r="J10" i="73"/>
  <c r="E10" i="73"/>
  <c r="D14" i="54"/>
  <c r="D15" i="54"/>
  <c r="D16" i="54"/>
  <c r="D17" i="54"/>
  <c r="D18" i="54"/>
  <c r="D19" i="54"/>
  <c r="D20" i="54"/>
  <c r="D21" i="54"/>
  <c r="D22" i="54"/>
  <c r="D23" i="54"/>
  <c r="D24" i="54"/>
  <c r="D25" i="54"/>
  <c r="I51" i="72"/>
  <c r="H47" i="72"/>
  <c r="H46" i="72"/>
  <c r="H45" i="72"/>
  <c r="H44" i="72"/>
  <c r="H43" i="72"/>
  <c r="H42" i="72"/>
  <c r="H41" i="72"/>
  <c r="H40" i="72"/>
  <c r="H39" i="72"/>
  <c r="H38" i="72"/>
  <c r="H37" i="72"/>
  <c r="H36" i="72"/>
  <c r="J36" i="72" s="1"/>
  <c r="D36" i="72"/>
  <c r="J35" i="72"/>
  <c r="H35" i="72"/>
  <c r="D35" i="72"/>
  <c r="H34" i="72"/>
  <c r="J34" i="72" s="1"/>
  <c r="D34" i="72"/>
  <c r="J33" i="72"/>
  <c r="H33" i="72"/>
  <c r="D33" i="72"/>
  <c r="H32" i="72"/>
  <c r="J32" i="72" s="1"/>
  <c r="D32" i="72"/>
  <c r="J31" i="72"/>
  <c r="H31" i="72"/>
  <c r="D31" i="72"/>
  <c r="H30" i="72"/>
  <c r="J30" i="72" s="1"/>
  <c r="D30" i="72"/>
  <c r="J29" i="72"/>
  <c r="H29" i="72"/>
  <c r="D29" i="72"/>
  <c r="H28" i="72"/>
  <c r="J28" i="72" s="1"/>
  <c r="D28" i="72"/>
  <c r="J27" i="72"/>
  <c r="H27" i="72"/>
  <c r="D27" i="72"/>
  <c r="H26" i="72"/>
  <c r="J26" i="72" s="1"/>
  <c r="D26" i="72"/>
  <c r="J25" i="72"/>
  <c r="H25" i="72"/>
  <c r="D25" i="72"/>
  <c r="H24" i="72"/>
  <c r="J24" i="72" s="1"/>
  <c r="D24" i="72"/>
  <c r="J23" i="72"/>
  <c r="H23" i="72"/>
  <c r="D23" i="72"/>
  <c r="H22" i="72"/>
  <c r="J22" i="72" s="1"/>
  <c r="D22" i="72"/>
  <c r="J21" i="72"/>
  <c r="H21" i="72"/>
  <c r="D21" i="72"/>
  <c r="H20" i="72"/>
  <c r="J20" i="72" s="1"/>
  <c r="D20" i="72"/>
  <c r="J19" i="72"/>
  <c r="H19" i="72"/>
  <c r="D19" i="72"/>
  <c r="H18" i="72"/>
  <c r="J18" i="72" s="1"/>
  <c r="D18" i="72"/>
  <c r="J17" i="72"/>
  <c r="H17" i="72"/>
  <c r="D17" i="72"/>
  <c r="H16" i="72"/>
  <c r="J16" i="72" s="1"/>
  <c r="D16" i="72"/>
  <c r="J15" i="72"/>
  <c r="H15" i="72"/>
  <c r="D15" i="72"/>
  <c r="H14" i="72"/>
  <c r="J14" i="72" s="1"/>
  <c r="D14" i="72"/>
  <c r="J13" i="72"/>
  <c r="I53" i="72" s="1"/>
  <c r="J53" i="72" s="1"/>
  <c r="H13" i="72"/>
  <c r="D13" i="72"/>
  <c r="J10" i="72"/>
  <c r="E10" i="72"/>
  <c r="J20" i="73" l="1"/>
  <c r="J14" i="73"/>
  <c r="J16" i="73"/>
  <c r="I52" i="73" s="1"/>
  <c r="J52" i="73" s="1"/>
  <c r="J18" i="73"/>
  <c r="J22" i="73"/>
  <c r="J13" i="73"/>
  <c r="N14" i="54"/>
  <c r="J15" i="73"/>
  <c r="J17" i="73"/>
  <c r="J19" i="73"/>
  <c r="J21" i="73"/>
  <c r="J23" i="73"/>
  <c r="J16" i="74"/>
  <c r="J24" i="73"/>
  <c r="N14" i="63"/>
  <c r="I52" i="74"/>
  <c r="J52" i="74" s="1"/>
  <c r="I54" i="72"/>
  <c r="J54" i="72" s="1"/>
  <c r="I52" i="72"/>
  <c r="J52" i="72" s="1"/>
  <c r="I53" i="73" l="1"/>
  <c r="J53" i="73" s="1"/>
  <c r="I54" i="73"/>
  <c r="J54" i="73" s="1"/>
  <c r="I54" i="74"/>
  <c r="J54" i="74" s="1"/>
  <c r="I53" i="74"/>
  <c r="J53" i="74" s="1"/>
  <c r="E8" i="70"/>
  <c r="J8" i="70"/>
  <c r="E8" i="69"/>
  <c r="J8" i="69"/>
  <c r="E8" i="68"/>
  <c r="J8" i="68"/>
  <c r="E8" i="67"/>
  <c r="J8" i="67"/>
  <c r="E8" i="66"/>
  <c r="J8" i="66"/>
  <c r="E8" i="65"/>
  <c r="J8" i="65"/>
  <c r="E8" i="64"/>
  <c r="J8" i="64"/>
  <c r="E8" i="61"/>
  <c r="J8" i="61"/>
  <c r="E8" i="60"/>
  <c r="J8" i="60"/>
  <c r="E8" i="59"/>
  <c r="J8" i="59"/>
  <c r="J8" i="58"/>
  <c r="E8" i="58"/>
  <c r="E8" i="57"/>
  <c r="J8" i="57"/>
  <c r="E8" i="56"/>
  <c r="J8" i="56"/>
  <c r="J8" i="55"/>
  <c r="E8" i="55"/>
  <c r="D14" i="70" l="1"/>
  <c r="D15" i="70"/>
  <c r="D16" i="70"/>
  <c r="D17" i="70"/>
  <c r="D13" i="70"/>
  <c r="D14" i="69"/>
  <c r="D15" i="69"/>
  <c r="D16" i="69"/>
  <c r="D17" i="69"/>
  <c r="D13" i="69"/>
  <c r="D14" i="68"/>
  <c r="D15" i="68"/>
  <c r="D16" i="68"/>
  <c r="D17" i="68"/>
  <c r="D13" i="68"/>
  <c r="D14" i="67"/>
  <c r="D15" i="67"/>
  <c r="D16" i="67"/>
  <c r="D17" i="67"/>
  <c r="D13" i="67"/>
  <c r="D14" i="66"/>
  <c r="D15" i="66"/>
  <c r="D16" i="66"/>
  <c r="D17" i="66"/>
  <c r="D13" i="66"/>
  <c r="D14" i="65"/>
  <c r="D15" i="65"/>
  <c r="D16" i="65"/>
  <c r="D17" i="65"/>
  <c r="D13" i="65"/>
  <c r="D15" i="63"/>
  <c r="D16" i="63"/>
  <c r="D17" i="63"/>
  <c r="D18" i="63"/>
  <c r="D14" i="63"/>
  <c r="I51" i="70"/>
  <c r="H17" i="70"/>
  <c r="J17" i="70" s="1"/>
  <c r="H16" i="70"/>
  <c r="J16" i="70" s="1"/>
  <c r="H15" i="70"/>
  <c r="J15" i="70" s="1"/>
  <c r="H14" i="70"/>
  <c r="H13" i="70"/>
  <c r="J13" i="70" s="1"/>
  <c r="J10" i="70"/>
  <c r="E10" i="70"/>
  <c r="I51" i="69"/>
  <c r="H17" i="69"/>
  <c r="J17" i="69" s="1"/>
  <c r="H16" i="69"/>
  <c r="H15" i="69"/>
  <c r="J15" i="69" s="1"/>
  <c r="H14" i="69"/>
  <c r="J14" i="69" s="1"/>
  <c r="H13" i="69"/>
  <c r="J13" i="69" s="1"/>
  <c r="J10" i="69"/>
  <c r="E10" i="69"/>
  <c r="I51" i="68"/>
  <c r="H17" i="68"/>
  <c r="J17" i="68" s="1"/>
  <c r="H16" i="68"/>
  <c r="H15" i="68"/>
  <c r="J15" i="68" s="1"/>
  <c r="H14" i="68"/>
  <c r="J14" i="68" s="1"/>
  <c r="H13" i="68"/>
  <c r="J13" i="68" s="1"/>
  <c r="J10" i="68"/>
  <c r="E10" i="68"/>
  <c r="I51" i="67"/>
  <c r="H17" i="67"/>
  <c r="J17" i="67" s="1"/>
  <c r="H16" i="67"/>
  <c r="H15" i="67"/>
  <c r="J15" i="67" s="1"/>
  <c r="H14" i="67"/>
  <c r="J14" i="67" s="1"/>
  <c r="H13" i="67"/>
  <c r="J13" i="67" s="1"/>
  <c r="J10" i="67"/>
  <c r="E10" i="67"/>
  <c r="I51" i="66"/>
  <c r="H17" i="66"/>
  <c r="J17" i="66" s="1"/>
  <c r="H16" i="66"/>
  <c r="H15" i="66"/>
  <c r="J15" i="66" s="1"/>
  <c r="H14" i="66"/>
  <c r="H13" i="66"/>
  <c r="J13" i="66" s="1"/>
  <c r="J10" i="66"/>
  <c r="E10" i="66"/>
  <c r="I51" i="65"/>
  <c r="H17" i="65"/>
  <c r="J17" i="65" s="1"/>
  <c r="H16" i="65"/>
  <c r="H15" i="65"/>
  <c r="J15" i="65" s="1"/>
  <c r="H14" i="65"/>
  <c r="H13" i="65"/>
  <c r="J13" i="65" s="1"/>
  <c r="J10" i="65"/>
  <c r="E10" i="65"/>
  <c r="I51" i="64"/>
  <c r="H17" i="64"/>
  <c r="J17" i="64" s="1"/>
  <c r="H16" i="64"/>
  <c r="J16" i="64" s="1"/>
  <c r="H15" i="64"/>
  <c r="H14" i="64"/>
  <c r="H13" i="64"/>
  <c r="G54" i="63"/>
  <c r="D14" i="61"/>
  <c r="D15" i="61"/>
  <c r="D16" i="61"/>
  <c r="D17" i="61"/>
  <c r="D18" i="61"/>
  <c r="D19" i="61"/>
  <c r="D20" i="61"/>
  <c r="D21" i="61"/>
  <c r="D22" i="61"/>
  <c r="D23" i="61"/>
  <c r="D24" i="61"/>
  <c r="D13" i="61"/>
  <c r="D14" i="60"/>
  <c r="D15" i="60"/>
  <c r="D16" i="60"/>
  <c r="D17" i="60"/>
  <c r="D18" i="60"/>
  <c r="D19" i="60"/>
  <c r="D20" i="60"/>
  <c r="D21" i="60"/>
  <c r="D22" i="60"/>
  <c r="D23" i="60"/>
  <c r="D24" i="60"/>
  <c r="D13" i="60"/>
  <c r="D14" i="59"/>
  <c r="D15" i="59"/>
  <c r="D16" i="59"/>
  <c r="D17" i="59"/>
  <c r="D18" i="59"/>
  <c r="D19" i="59"/>
  <c r="D20" i="59"/>
  <c r="D21" i="59"/>
  <c r="D22" i="59"/>
  <c r="D23" i="59"/>
  <c r="D24" i="59"/>
  <c r="D13" i="59"/>
  <c r="D14" i="58"/>
  <c r="D15" i="58"/>
  <c r="D16" i="58"/>
  <c r="D17" i="58"/>
  <c r="D18" i="58"/>
  <c r="D19" i="58"/>
  <c r="D20" i="58"/>
  <c r="D21" i="58"/>
  <c r="D22" i="58"/>
  <c r="D23" i="58"/>
  <c r="D24" i="58"/>
  <c r="D13" i="58"/>
  <c r="D14" i="57"/>
  <c r="D15" i="57"/>
  <c r="D16" i="57"/>
  <c r="D17" i="57"/>
  <c r="D18" i="57"/>
  <c r="D19" i="57"/>
  <c r="D20" i="57"/>
  <c r="D21" i="57"/>
  <c r="D22" i="57"/>
  <c r="D23" i="57"/>
  <c r="D24" i="57"/>
  <c r="D13" i="57"/>
  <c r="D14" i="56"/>
  <c r="D15" i="56"/>
  <c r="D16" i="56"/>
  <c r="D17" i="56"/>
  <c r="D18" i="56"/>
  <c r="D19" i="56"/>
  <c r="D20" i="56"/>
  <c r="D21" i="56"/>
  <c r="D22" i="56"/>
  <c r="D23" i="56"/>
  <c r="D24" i="56"/>
  <c r="D13" i="56"/>
  <c r="G14" i="54"/>
  <c r="I51" i="61"/>
  <c r="H24" i="61"/>
  <c r="J24" i="61" s="1"/>
  <c r="H23" i="61"/>
  <c r="J23" i="61" s="1"/>
  <c r="H22" i="61"/>
  <c r="J22" i="61" s="1"/>
  <c r="H21" i="61"/>
  <c r="H20" i="61"/>
  <c r="J20" i="61" s="1"/>
  <c r="H19" i="61"/>
  <c r="J19" i="61" s="1"/>
  <c r="H18" i="61"/>
  <c r="J18" i="61" s="1"/>
  <c r="H17" i="61"/>
  <c r="J17" i="61" s="1"/>
  <c r="H16" i="61"/>
  <c r="J16" i="61" s="1"/>
  <c r="H15" i="61"/>
  <c r="H14" i="61"/>
  <c r="J14" i="61" s="1"/>
  <c r="H13" i="61"/>
  <c r="J13" i="61" s="1"/>
  <c r="J10" i="61"/>
  <c r="E10" i="61"/>
  <c r="I51" i="60"/>
  <c r="H24" i="60"/>
  <c r="J24" i="60" s="1"/>
  <c r="H23" i="60"/>
  <c r="J23" i="60" s="1"/>
  <c r="H22" i="60"/>
  <c r="J22" i="60" s="1"/>
  <c r="H21" i="60"/>
  <c r="J21" i="60" s="1"/>
  <c r="H20" i="60"/>
  <c r="J20" i="60" s="1"/>
  <c r="H19" i="60"/>
  <c r="H18" i="60"/>
  <c r="J18" i="60" s="1"/>
  <c r="H17" i="60"/>
  <c r="H16" i="60"/>
  <c r="J16" i="60" s="1"/>
  <c r="H15" i="60"/>
  <c r="H14" i="60"/>
  <c r="J14" i="60" s="1"/>
  <c r="H13" i="60"/>
  <c r="J13" i="60" s="1"/>
  <c r="J10" i="60"/>
  <c r="E10" i="60"/>
  <c r="I51" i="59"/>
  <c r="H24" i="59"/>
  <c r="J24" i="59" s="1"/>
  <c r="H23" i="59"/>
  <c r="H22" i="59"/>
  <c r="J22" i="59" s="1"/>
  <c r="H21" i="59"/>
  <c r="J21" i="59" s="1"/>
  <c r="H19" i="59"/>
  <c r="J19" i="59" s="1"/>
  <c r="H18" i="59"/>
  <c r="J18" i="59" s="1"/>
  <c r="H17" i="59"/>
  <c r="J17" i="59" s="1"/>
  <c r="H16" i="59"/>
  <c r="J16" i="59" s="1"/>
  <c r="H15" i="59"/>
  <c r="H14" i="59"/>
  <c r="J14" i="59" s="1"/>
  <c r="H13" i="59"/>
  <c r="J10" i="59"/>
  <c r="E10" i="59"/>
  <c r="I51" i="58"/>
  <c r="H24" i="58"/>
  <c r="J24" i="58" s="1"/>
  <c r="H23" i="58"/>
  <c r="H22" i="58"/>
  <c r="J22" i="58" s="1"/>
  <c r="H21" i="58"/>
  <c r="H20" i="58"/>
  <c r="J20" i="58" s="1"/>
  <c r="H19" i="58"/>
  <c r="H18" i="58"/>
  <c r="J18" i="58" s="1"/>
  <c r="H17" i="58"/>
  <c r="H16" i="58"/>
  <c r="J16" i="58" s="1"/>
  <c r="H15" i="58"/>
  <c r="H14" i="58"/>
  <c r="J14" i="58" s="1"/>
  <c r="H13" i="58"/>
  <c r="J13" i="58" s="1"/>
  <c r="J10" i="58"/>
  <c r="E10" i="58"/>
  <c r="I51" i="57"/>
  <c r="H24" i="57"/>
  <c r="J24" i="57" s="1"/>
  <c r="H23" i="57"/>
  <c r="J23" i="57" s="1"/>
  <c r="H22" i="57"/>
  <c r="J22" i="57" s="1"/>
  <c r="H21" i="57"/>
  <c r="J21" i="57" s="1"/>
  <c r="H20" i="57"/>
  <c r="H19" i="57"/>
  <c r="J19" i="57" s="1"/>
  <c r="H18" i="57"/>
  <c r="J18" i="57" s="1"/>
  <c r="H17" i="57"/>
  <c r="J17" i="57" s="1"/>
  <c r="H16" i="57"/>
  <c r="J16" i="57" s="1"/>
  <c r="H15" i="57"/>
  <c r="J15" i="57" s="1"/>
  <c r="H14" i="57"/>
  <c r="J14" i="57" s="1"/>
  <c r="H13" i="57"/>
  <c r="J10" i="57"/>
  <c r="E10" i="57"/>
  <c r="I51" i="56"/>
  <c r="H24" i="56"/>
  <c r="J24" i="56" s="1"/>
  <c r="H23" i="56"/>
  <c r="J23" i="56" s="1"/>
  <c r="H22" i="56"/>
  <c r="J22" i="56" s="1"/>
  <c r="H21" i="56"/>
  <c r="J21" i="56" s="1"/>
  <c r="H20" i="56"/>
  <c r="J20" i="56" s="1"/>
  <c r="H19" i="56"/>
  <c r="J19" i="56" s="1"/>
  <c r="H18" i="56"/>
  <c r="J18" i="56" s="1"/>
  <c r="H17" i="56"/>
  <c r="H16" i="56"/>
  <c r="J16" i="56" s="1"/>
  <c r="H15" i="56"/>
  <c r="H14" i="56"/>
  <c r="J14" i="56" s="1"/>
  <c r="H13" i="56"/>
  <c r="J13" i="56" s="1"/>
  <c r="E10" i="56"/>
  <c r="I51" i="55"/>
  <c r="G54" i="54"/>
  <c r="G15" i="53"/>
  <c r="G16" i="53"/>
  <c r="G17" i="53"/>
  <c r="G18" i="53"/>
  <c r="G19" i="53"/>
  <c r="G20" i="53"/>
  <c r="K20" i="53"/>
  <c r="M20" i="53"/>
  <c r="G21" i="53"/>
  <c r="I21" i="53"/>
  <c r="J21" i="53"/>
  <c r="K21" i="53"/>
  <c r="L21" i="53"/>
  <c r="M21" i="53"/>
  <c r="G22" i="53"/>
  <c r="I22" i="53"/>
  <c r="J22" i="53"/>
  <c r="K22" i="53"/>
  <c r="L22" i="53"/>
  <c r="M22" i="53"/>
  <c r="G23" i="53"/>
  <c r="H23" i="53"/>
  <c r="I23" i="53"/>
  <c r="J23" i="53"/>
  <c r="K23" i="53"/>
  <c r="L23" i="53"/>
  <c r="M23" i="53"/>
  <c r="G24" i="53"/>
  <c r="H24" i="53"/>
  <c r="I24" i="53"/>
  <c r="J24" i="53"/>
  <c r="K24" i="53"/>
  <c r="L24" i="53"/>
  <c r="M24" i="53"/>
  <c r="G25" i="53"/>
  <c r="H25" i="53"/>
  <c r="I25" i="53"/>
  <c r="J25" i="53"/>
  <c r="K25" i="53"/>
  <c r="L25" i="53"/>
  <c r="M25" i="53"/>
  <c r="G26" i="53"/>
  <c r="H26" i="53"/>
  <c r="I26" i="53"/>
  <c r="J26" i="53"/>
  <c r="K26" i="53"/>
  <c r="L26" i="53"/>
  <c r="M26" i="53"/>
  <c r="G27" i="53"/>
  <c r="H27" i="53"/>
  <c r="I27" i="53"/>
  <c r="J27" i="53"/>
  <c r="K27" i="53"/>
  <c r="L27" i="53"/>
  <c r="M27" i="53"/>
  <c r="G28" i="53"/>
  <c r="H28" i="53"/>
  <c r="I28" i="53"/>
  <c r="J28" i="53"/>
  <c r="K28" i="53"/>
  <c r="L28" i="53"/>
  <c r="M28" i="53"/>
  <c r="G29" i="53"/>
  <c r="H29" i="53"/>
  <c r="I29" i="53"/>
  <c r="J29" i="53"/>
  <c r="K29" i="53"/>
  <c r="L29" i="53"/>
  <c r="M29" i="53"/>
  <c r="G30" i="53"/>
  <c r="H30" i="53"/>
  <c r="I30" i="53"/>
  <c r="J30" i="53"/>
  <c r="K30" i="53"/>
  <c r="L30" i="53"/>
  <c r="M30" i="53"/>
  <c r="G31" i="53"/>
  <c r="H31" i="53"/>
  <c r="I31" i="53"/>
  <c r="J31" i="53"/>
  <c r="K31" i="53"/>
  <c r="L31" i="53"/>
  <c r="M31" i="53"/>
  <c r="G32" i="53"/>
  <c r="H32" i="53"/>
  <c r="I32" i="53"/>
  <c r="J32" i="53"/>
  <c r="K32" i="53"/>
  <c r="L32" i="53"/>
  <c r="M32" i="53"/>
  <c r="G33" i="53"/>
  <c r="H33" i="53"/>
  <c r="I33" i="53"/>
  <c r="J33" i="53"/>
  <c r="K33" i="53"/>
  <c r="L33" i="53"/>
  <c r="M33" i="53"/>
  <c r="G34" i="53"/>
  <c r="H34" i="53"/>
  <c r="I34" i="53"/>
  <c r="J34" i="53"/>
  <c r="K34" i="53"/>
  <c r="L34" i="53"/>
  <c r="M34" i="53"/>
  <c r="G35" i="53"/>
  <c r="H35" i="53"/>
  <c r="I35" i="53"/>
  <c r="J35" i="53"/>
  <c r="K35" i="53"/>
  <c r="L35" i="53"/>
  <c r="M35" i="53"/>
  <c r="G36" i="53"/>
  <c r="H36" i="53"/>
  <c r="I36" i="53"/>
  <c r="J36" i="53"/>
  <c r="K36" i="53"/>
  <c r="L36" i="53"/>
  <c r="M36" i="53"/>
  <c r="G37" i="53"/>
  <c r="H37" i="53"/>
  <c r="I37" i="53"/>
  <c r="J37" i="53"/>
  <c r="K37" i="53"/>
  <c r="L37" i="53"/>
  <c r="M37" i="53"/>
  <c r="V20" i="53"/>
  <c r="V21" i="53"/>
  <c r="V22" i="53"/>
  <c r="V23" i="53"/>
  <c r="V24" i="53"/>
  <c r="V25" i="53"/>
  <c r="V26" i="53"/>
  <c r="V27" i="53"/>
  <c r="V28" i="53"/>
  <c r="V29" i="53"/>
  <c r="V30" i="53"/>
  <c r="V31" i="53"/>
  <c r="V32" i="53"/>
  <c r="V33" i="53"/>
  <c r="V34" i="53"/>
  <c r="V35" i="53"/>
  <c r="V36" i="53"/>
  <c r="V37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J19" i="51"/>
  <c r="J20" i="51"/>
  <c r="J21" i="51"/>
  <c r="J22" i="51"/>
  <c r="J23" i="51"/>
  <c r="J24" i="51"/>
  <c r="J25" i="51"/>
  <c r="J26" i="51"/>
  <c r="J27" i="51"/>
  <c r="J28" i="51"/>
  <c r="J29" i="51"/>
  <c r="J30" i="51"/>
  <c r="J31" i="51"/>
  <c r="J32" i="51"/>
  <c r="J33" i="51"/>
  <c r="J34" i="51"/>
  <c r="J35" i="51"/>
  <c r="J36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J20" i="50"/>
  <c r="J21" i="50"/>
  <c r="J22" i="50"/>
  <c r="J23" i="50"/>
  <c r="J24" i="50"/>
  <c r="J25" i="50"/>
  <c r="J26" i="50"/>
  <c r="J27" i="50"/>
  <c r="J28" i="50"/>
  <c r="J29" i="50"/>
  <c r="J30" i="50"/>
  <c r="J31" i="50"/>
  <c r="J32" i="50"/>
  <c r="J33" i="50"/>
  <c r="J34" i="50"/>
  <c r="J35" i="50"/>
  <c r="J36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6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J36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5" i="47"/>
  <c r="J36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J22" i="46"/>
  <c r="J23" i="46"/>
  <c r="J24" i="46"/>
  <c r="J25" i="46"/>
  <c r="J26" i="46"/>
  <c r="J27" i="46"/>
  <c r="J28" i="46"/>
  <c r="J29" i="46"/>
  <c r="J30" i="46"/>
  <c r="J31" i="46"/>
  <c r="J32" i="46"/>
  <c r="J33" i="46"/>
  <c r="J34" i="46"/>
  <c r="J35" i="46"/>
  <c r="J36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D14" i="53"/>
  <c r="G54" i="53"/>
  <c r="J21" i="61" l="1"/>
  <c r="J20" i="57"/>
  <c r="J14" i="64"/>
  <c r="J15" i="64"/>
  <c r="G14" i="63"/>
  <c r="J13" i="64"/>
  <c r="J15" i="61"/>
  <c r="J17" i="60"/>
  <c r="L14" i="54"/>
  <c r="J15" i="60"/>
  <c r="J19" i="60"/>
  <c r="K14" i="54"/>
  <c r="J13" i="59"/>
  <c r="I54" i="59" s="1"/>
  <c r="J54" i="59" s="1"/>
  <c r="J23" i="59"/>
  <c r="J15" i="59"/>
  <c r="J15" i="58"/>
  <c r="J23" i="58"/>
  <c r="J17" i="58"/>
  <c r="J21" i="58"/>
  <c r="J19" i="58"/>
  <c r="I14" i="54"/>
  <c r="J13" i="57"/>
  <c r="I52" i="57" s="1"/>
  <c r="J52" i="57" s="1"/>
  <c r="J17" i="56"/>
  <c r="J15" i="56"/>
  <c r="J14" i="70"/>
  <c r="J16" i="69"/>
  <c r="I53" i="69" s="1"/>
  <c r="J53" i="69" s="1"/>
  <c r="J16" i="68"/>
  <c r="J16" i="67"/>
  <c r="I52" i="67" s="1"/>
  <c r="J52" i="67" s="1"/>
  <c r="J16" i="66"/>
  <c r="J14" i="66"/>
  <c r="I53" i="66" s="1"/>
  <c r="J53" i="66" s="1"/>
  <c r="J16" i="65"/>
  <c r="J14" i="65"/>
  <c r="I52" i="55"/>
  <c r="J52" i="55" s="1"/>
  <c r="I54" i="57"/>
  <c r="J54" i="57" s="1"/>
  <c r="M14" i="54"/>
  <c r="I54" i="60"/>
  <c r="J54" i="60" s="1"/>
  <c r="J14" i="54"/>
  <c r="H14" i="54"/>
  <c r="I54" i="55"/>
  <c r="J54" i="55" s="1"/>
  <c r="I53" i="65"/>
  <c r="J53" i="65" s="1"/>
  <c r="H14" i="63"/>
  <c r="I14" i="63"/>
  <c r="V17" i="63"/>
  <c r="I54" i="70"/>
  <c r="J54" i="70" s="1"/>
  <c r="M14" i="63"/>
  <c r="K14" i="63"/>
  <c r="J14" i="63"/>
  <c r="I53" i="70"/>
  <c r="J53" i="70" s="1"/>
  <c r="I54" i="68"/>
  <c r="J54" i="68" s="1"/>
  <c r="I53" i="68"/>
  <c r="J53" i="68" s="1"/>
  <c r="I52" i="68"/>
  <c r="J52" i="68" s="1"/>
  <c r="I52" i="66"/>
  <c r="J52" i="66" s="1"/>
  <c r="I53" i="60"/>
  <c r="J53" i="60" s="1"/>
  <c r="E10" i="46"/>
  <c r="E10" i="47"/>
  <c r="E10" i="48"/>
  <c r="E10" i="49"/>
  <c r="E10" i="50"/>
  <c r="E10" i="51"/>
  <c r="I51" i="51"/>
  <c r="H47" i="51"/>
  <c r="H46" i="51"/>
  <c r="H45" i="51"/>
  <c r="H44" i="51"/>
  <c r="H43" i="51"/>
  <c r="H42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D17" i="51"/>
  <c r="H16" i="51"/>
  <c r="D16" i="51"/>
  <c r="H15" i="51"/>
  <c r="D15" i="51"/>
  <c r="J14" i="51"/>
  <c r="H14" i="51"/>
  <c r="D14" i="51"/>
  <c r="H13" i="51"/>
  <c r="D13" i="51"/>
  <c r="J10" i="51"/>
  <c r="I51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D17" i="50"/>
  <c r="H16" i="50"/>
  <c r="D16" i="50"/>
  <c r="H15" i="50"/>
  <c r="D15" i="50"/>
  <c r="H14" i="50"/>
  <c r="D14" i="50"/>
  <c r="J13" i="50"/>
  <c r="H13" i="50"/>
  <c r="D13" i="50"/>
  <c r="J10" i="50"/>
  <c r="I51" i="49"/>
  <c r="H47" i="49"/>
  <c r="H46" i="49"/>
  <c r="H45" i="49"/>
  <c r="H44" i="49"/>
  <c r="H43" i="49"/>
  <c r="H42" i="49"/>
  <c r="H41" i="49"/>
  <c r="H40" i="49"/>
  <c r="H39" i="49"/>
  <c r="H38" i="49"/>
  <c r="H37" i="49"/>
  <c r="H36" i="49"/>
  <c r="H35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17" i="49"/>
  <c r="D17" i="49"/>
  <c r="J16" i="49"/>
  <c r="H16" i="49"/>
  <c r="D16" i="49"/>
  <c r="H15" i="49"/>
  <c r="D15" i="49"/>
  <c r="H14" i="49"/>
  <c r="D14" i="49"/>
  <c r="H13" i="49"/>
  <c r="D13" i="49"/>
  <c r="J10" i="49"/>
  <c r="I51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D17" i="48"/>
  <c r="H16" i="48"/>
  <c r="D16" i="48"/>
  <c r="H15" i="48"/>
  <c r="D15" i="48"/>
  <c r="H14" i="48"/>
  <c r="D14" i="48"/>
  <c r="J13" i="48"/>
  <c r="H13" i="48"/>
  <c r="D13" i="48"/>
  <c r="J10" i="48"/>
  <c r="J10" i="46"/>
  <c r="J10" i="47"/>
  <c r="D14" i="47"/>
  <c r="D15" i="47"/>
  <c r="D16" i="47"/>
  <c r="D17" i="47"/>
  <c r="D13" i="47"/>
  <c r="I51" i="47"/>
  <c r="H47" i="47"/>
  <c r="H46" i="47"/>
  <c r="H45" i="47"/>
  <c r="H44" i="47"/>
  <c r="H43" i="47"/>
  <c r="H42" i="47"/>
  <c r="H41" i="47"/>
  <c r="H40" i="47"/>
  <c r="H39" i="47"/>
  <c r="H38" i="47"/>
  <c r="H37" i="47"/>
  <c r="H36" i="47"/>
  <c r="H35" i="47"/>
  <c r="H34" i="47"/>
  <c r="H33" i="47"/>
  <c r="H32" i="47"/>
  <c r="H31" i="47"/>
  <c r="H30" i="47"/>
  <c r="H29" i="47"/>
  <c r="H28" i="47"/>
  <c r="H27" i="47"/>
  <c r="H26" i="47"/>
  <c r="H25" i="47"/>
  <c r="H24" i="47"/>
  <c r="H23" i="47"/>
  <c r="H22" i="47"/>
  <c r="H21" i="47"/>
  <c r="H20" i="47"/>
  <c r="H19" i="47"/>
  <c r="H18" i="47"/>
  <c r="H17" i="47"/>
  <c r="H16" i="47"/>
  <c r="H15" i="47"/>
  <c r="J14" i="47"/>
  <c r="H14" i="47"/>
  <c r="H13" i="47"/>
  <c r="D13" i="46"/>
  <c r="I51" i="46"/>
  <c r="H47" i="46"/>
  <c r="H46" i="46"/>
  <c r="H45" i="46"/>
  <c r="H44" i="46"/>
  <c r="H43" i="46"/>
  <c r="H42" i="46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I53" i="58" l="1"/>
  <c r="J53" i="58" s="1"/>
  <c r="I54" i="61"/>
  <c r="J54" i="61" s="1"/>
  <c r="I52" i="59"/>
  <c r="J52" i="59" s="1"/>
  <c r="I53" i="59"/>
  <c r="J53" i="59" s="1"/>
  <c r="I53" i="57"/>
  <c r="J53" i="57" s="1"/>
  <c r="I54" i="69"/>
  <c r="J54" i="69" s="1"/>
  <c r="I54" i="66"/>
  <c r="J54" i="66" s="1"/>
  <c r="I52" i="65"/>
  <c r="J52" i="65" s="1"/>
  <c r="I54" i="58"/>
  <c r="J54" i="58" s="1"/>
  <c r="V24" i="54"/>
  <c r="V20" i="54"/>
  <c r="V23" i="54"/>
  <c r="V22" i="54"/>
  <c r="I53" i="67"/>
  <c r="J53" i="67" s="1"/>
  <c r="I54" i="67"/>
  <c r="J54" i="67" s="1"/>
  <c r="V25" i="54"/>
  <c r="I53" i="55"/>
  <c r="J53" i="55" s="1"/>
  <c r="V21" i="54"/>
  <c r="I53" i="61"/>
  <c r="J53" i="61" s="1"/>
  <c r="I52" i="61"/>
  <c r="J52" i="61" s="1"/>
  <c r="I52" i="60"/>
  <c r="J52" i="60" s="1"/>
  <c r="I52" i="58"/>
  <c r="J52" i="58" s="1"/>
  <c r="I54" i="56"/>
  <c r="J54" i="56" s="1"/>
  <c r="I53" i="56"/>
  <c r="J53" i="56" s="1"/>
  <c r="I52" i="56"/>
  <c r="J52" i="56" s="1"/>
  <c r="V15" i="63"/>
  <c r="I54" i="65"/>
  <c r="J54" i="65" s="1"/>
  <c r="V16" i="63"/>
  <c r="I54" i="64"/>
  <c r="J54" i="64" s="1"/>
  <c r="I52" i="64"/>
  <c r="J52" i="64" s="1"/>
  <c r="I53" i="64"/>
  <c r="J53" i="64" s="1"/>
  <c r="V18" i="63"/>
  <c r="I52" i="69"/>
  <c r="J52" i="69" s="1"/>
  <c r="V14" i="63"/>
  <c r="I52" i="70"/>
  <c r="J52" i="70" s="1"/>
  <c r="J15" i="51"/>
  <c r="M16" i="53"/>
  <c r="V16" i="53" s="1"/>
  <c r="V16" i="54"/>
  <c r="M17" i="53"/>
  <c r="V19" i="54"/>
  <c r="M19" i="53"/>
  <c r="V19" i="53" s="1"/>
  <c r="J18" i="51"/>
  <c r="J13" i="51"/>
  <c r="M14" i="53"/>
  <c r="M15" i="53"/>
  <c r="J16" i="51"/>
  <c r="I53" i="51" s="1"/>
  <c r="J53" i="51" s="1"/>
  <c r="M18" i="53"/>
  <c r="V18" i="53" s="1"/>
  <c r="J17" i="51"/>
  <c r="V18" i="54"/>
  <c r="J14" i="50"/>
  <c r="I52" i="50" s="1"/>
  <c r="J52" i="50" s="1"/>
  <c r="L15" i="53"/>
  <c r="L16" i="53"/>
  <c r="L19" i="53"/>
  <c r="J18" i="50"/>
  <c r="L14" i="53"/>
  <c r="J15" i="50"/>
  <c r="J16" i="50"/>
  <c r="L17" i="53"/>
  <c r="L18" i="53"/>
  <c r="J17" i="50"/>
  <c r="J19" i="50"/>
  <c r="L20" i="53"/>
  <c r="J13" i="49"/>
  <c r="K14" i="53"/>
  <c r="K15" i="53"/>
  <c r="J17" i="49"/>
  <c r="K18" i="53"/>
  <c r="J14" i="49"/>
  <c r="J15" i="49"/>
  <c r="I53" i="49" s="1"/>
  <c r="J53" i="49" s="1"/>
  <c r="K16" i="53"/>
  <c r="K17" i="53"/>
  <c r="K19" i="53"/>
  <c r="J18" i="49"/>
  <c r="J14" i="48"/>
  <c r="I54" i="48" s="1"/>
  <c r="J54" i="48" s="1"/>
  <c r="J15" i="53"/>
  <c r="J16" i="53"/>
  <c r="J19" i="53"/>
  <c r="J18" i="48"/>
  <c r="J14" i="53"/>
  <c r="J15" i="48"/>
  <c r="J16" i="48"/>
  <c r="J17" i="53"/>
  <c r="J17" i="48"/>
  <c r="J18" i="53"/>
  <c r="J19" i="48"/>
  <c r="J20" i="53"/>
  <c r="J13" i="47"/>
  <c r="I14" i="53"/>
  <c r="I17" i="53"/>
  <c r="J17" i="47"/>
  <c r="I18" i="53"/>
  <c r="J19" i="47"/>
  <c r="I20" i="53"/>
  <c r="I15" i="53"/>
  <c r="J15" i="47"/>
  <c r="I53" i="47" s="1"/>
  <c r="J53" i="47" s="1"/>
  <c r="I16" i="53"/>
  <c r="J16" i="47"/>
  <c r="I19" i="53"/>
  <c r="J18" i="47"/>
  <c r="J14" i="46"/>
  <c r="H15" i="53"/>
  <c r="V15" i="53" s="1"/>
  <c r="J16" i="46"/>
  <c r="H17" i="53"/>
  <c r="H19" i="53"/>
  <c r="J18" i="46"/>
  <c r="H21" i="53"/>
  <c r="J20" i="46"/>
  <c r="J13" i="46"/>
  <c r="H14" i="53"/>
  <c r="J15" i="46"/>
  <c r="I53" i="46" s="1"/>
  <c r="J53" i="46" s="1"/>
  <c r="H16" i="53"/>
  <c r="J17" i="46"/>
  <c r="H18" i="53"/>
  <c r="J19" i="46"/>
  <c r="H20" i="53"/>
  <c r="J21" i="46"/>
  <c r="H22" i="53"/>
  <c r="I54" i="51"/>
  <c r="J54" i="51" s="1"/>
  <c r="I54" i="50"/>
  <c r="J54" i="50" s="1"/>
  <c r="I53" i="50"/>
  <c r="J53" i="50" s="1"/>
  <c r="I54" i="49"/>
  <c r="J54" i="49" s="1"/>
  <c r="I52" i="49"/>
  <c r="J52" i="49" s="1"/>
  <c r="I53" i="48"/>
  <c r="J53" i="48" s="1"/>
  <c r="I54" i="47"/>
  <c r="J54" i="47" s="1"/>
  <c r="I52" i="47"/>
  <c r="J52" i="47" s="1"/>
  <c r="I52" i="46"/>
  <c r="J52" i="46" s="1"/>
  <c r="H36" i="45"/>
  <c r="I51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J13" i="45" s="1"/>
  <c r="G56" i="63" l="1"/>
  <c r="H56" i="63" s="1"/>
  <c r="G57" i="63"/>
  <c r="H57" i="63" s="1"/>
  <c r="G55" i="63"/>
  <c r="H55" i="63" s="1"/>
  <c r="I52" i="51"/>
  <c r="J52" i="51" s="1"/>
  <c r="V17" i="53"/>
  <c r="V15" i="54"/>
  <c r="I52" i="48"/>
  <c r="J52" i="48" s="1"/>
  <c r="V14" i="54"/>
  <c r="V17" i="54"/>
  <c r="I54" i="46"/>
  <c r="J54" i="46" s="1"/>
  <c r="J15" i="45"/>
  <c r="J16" i="45"/>
  <c r="J14" i="45"/>
  <c r="I52" i="45" s="1"/>
  <c r="J52" i="45" s="1"/>
  <c r="I53" i="45"/>
  <c r="J53" i="45" s="1"/>
  <c r="G14" i="53"/>
  <c r="V14" i="53" s="1"/>
  <c r="G56" i="54" l="1"/>
  <c r="H56" i="54" s="1"/>
  <c r="G57" i="54"/>
  <c r="H57" i="54" s="1"/>
  <c r="G55" i="54"/>
  <c r="H55" i="54" s="1"/>
  <c r="I54" i="45"/>
  <c r="J54" i="45" s="1"/>
  <c r="G57" i="53"/>
  <c r="H57" i="53" s="1"/>
  <c r="G56" i="53"/>
  <c r="H56" i="53" s="1"/>
  <c r="G55" i="53"/>
  <c r="H55" i="53" s="1"/>
</calcChain>
</file>

<file path=xl/sharedStrings.xml><?xml version="1.0" encoding="utf-8"?>
<sst xmlns="http://schemas.openxmlformats.org/spreadsheetml/2006/main" count="1149" uniqueCount="229">
  <si>
    <t>CARRERA:</t>
  </si>
  <si>
    <t>N°</t>
  </si>
  <si>
    <t>CENTRALIZADOR DE  CALIFICACIONES</t>
  </si>
  <si>
    <t xml:space="preserve">OBSERVACIONES </t>
  </si>
  <si>
    <t>CARÁCTER:</t>
  </si>
  <si>
    <t>NÓMINA ESTUDIANTES</t>
  </si>
  <si>
    <t>CONVENIO</t>
  </si>
  <si>
    <t>TURNO:</t>
  </si>
  <si>
    <t>CÉDULA DE IDENTIDAD</t>
  </si>
  <si>
    <t>ABADONO</t>
  </si>
  <si>
    <t>DETALLE</t>
  </si>
  <si>
    <t>ESTUDIANTES INSCRITOS</t>
  </si>
  <si>
    <t>ESTUDIANTES APROBADOS</t>
  </si>
  <si>
    <t>ESTUDIANTES REPROBADOS</t>
  </si>
  <si>
    <t>*En observaciones tomar en cuenta: Aprobado, Reprobado y Abandono</t>
  </si>
  <si>
    <t>INSTITUTO TECNICO "AUZA - ARNEZ"</t>
  </si>
  <si>
    <t>INSTITUTO TECNICO SUPERIOR DE LENGUAS ORIGINARIAS "BARTOLINA SISA"</t>
  </si>
  <si>
    <t>INSTITUTO TÉCNICO  "CATEC"</t>
  </si>
  <si>
    <t>INSTITUTO TÉCNICO "CEC  S.R.L."</t>
  </si>
  <si>
    <t>INSTITUTO TÉCNICO DE COMPUTACIÓN ORURO "ITCO"</t>
  </si>
  <si>
    <t>INSTITUTO TECNICO "CEALM" S.R.L.</t>
  </si>
  <si>
    <t>INSTITUTO COMERCIAL  "MAVI"</t>
  </si>
  <si>
    <t>INSTITUTO TÉCNICO "ICEP"</t>
  </si>
  <si>
    <t>INSTITUTO TECNOLOGICO "INFOCAL"</t>
  </si>
  <si>
    <t>ACADEMIA DE LENGUAS NATIVAS "TAWANTINSUYU"</t>
  </si>
  <si>
    <t>INSTITUTO TECNICO "INTERFACE - BOL"</t>
  </si>
  <si>
    <t>INSTITUTO TECNICO DE EDUCACIÓN SUPERIOR "NOVELL"</t>
  </si>
  <si>
    <t>INSTITUTO TÉCNICO "JOHN NEPER"</t>
  </si>
  <si>
    <t>INSTITUTO DE AUXILIARES DE ENFERMERIA "SAN LUCAS"</t>
  </si>
  <si>
    <t>INSTITUTO TÉCNICO AUTOMOTRIZ "SIMON BOLIVAR"</t>
  </si>
  <si>
    <t>INSTITUTO TECNICO "MARANATHA"</t>
  </si>
  <si>
    <t>INSTITUTO DE FORMACIÓN SUPERIOR INTERCULTURAL "KHANA MARKA " S.R.L.</t>
  </si>
  <si>
    <t>INSTITUTO TECNOLOGICO DE ESTUDIOS SUPERIORES EN CIENCIAS AGROPECUARIAS Y AMBIENTALES "ITESCAA"</t>
  </si>
  <si>
    <t>INSTITUTO DE BELLEZA "ELIA"</t>
  </si>
  <si>
    <t>INSTITUTO "GOLDEN BRIDGE CORPORATIÓN" S.A.</t>
  </si>
  <si>
    <t xml:space="preserve">INSTITUTO TECNICO DE CORTE Y CONFECCIÓN "ALEJANDRA" </t>
  </si>
  <si>
    <t>INSTITUTO TECNOLOGICO "IAI"</t>
  </si>
  <si>
    <t xml:space="preserve">INSTITUTO TÉCNICO SUPERIOR DE COMERCIO "INSCO" </t>
  </si>
  <si>
    <t>INSTITUTO TÉCNICO "JESUS MARIA I"</t>
  </si>
  <si>
    <t>INSTITUTO TÉCNICO "JESUS MARIA II"</t>
  </si>
  <si>
    <t>INSTITUTO TECNICO SUPERIOR "CIEBA"</t>
  </si>
  <si>
    <t>INSTITUTO SUPERIOR TECNOLOGICO AGROINDUSTRIAL "SAN PEDRO DE TOTORA"</t>
  </si>
  <si>
    <t>INSTITUTO SUPERIOR TECNOLOGICO AGROINDUSTRIAL "SAJAMA"</t>
  </si>
  <si>
    <t>INSTITUTO TECNOLOGICO SUPERIOR DE CARACOLLO "ITSCA"</t>
  </si>
  <si>
    <t>INSTITUTO TECNOLOGICO SUPERIOR "SANTIAGO DE HUARI"</t>
  </si>
  <si>
    <t>INSTITUCIONES</t>
  </si>
  <si>
    <t>NIVEL</t>
  </si>
  <si>
    <t>TECNICO SUPERIOR</t>
  </si>
  <si>
    <t>TECNICO MEDIO</t>
  </si>
  <si>
    <t xml:space="preserve">NIVEL: </t>
  </si>
  <si>
    <t>RÉGIMEN:</t>
  </si>
  <si>
    <t xml:space="preserve">CURSO: </t>
  </si>
  <si>
    <t>GESTIÓN:</t>
  </si>
  <si>
    <t>REGIMEN</t>
  </si>
  <si>
    <t>ANUAL</t>
  </si>
  <si>
    <t>SEMESTRAL</t>
  </si>
  <si>
    <t>TURNO</t>
  </si>
  <si>
    <t>MAÑANA</t>
  </si>
  <si>
    <t>TARDE</t>
  </si>
  <si>
    <t>NOCHE</t>
  </si>
  <si>
    <t>INSTITUTO TECNICO DE FORMACION DE ENFERMERIA DE LA CRUZ ROJA BOLIVIANA - FILIAL ORURO</t>
  </si>
  <si>
    <t>INSTITUTO TECNOLOGICO SUPERIOR MARKA QAQACHACA "ITSMAQ"</t>
  </si>
  <si>
    <t>INSTITUTO TECNOLOGICO SUPERIOR SAUCARI "ITSSA"</t>
  </si>
  <si>
    <t>CAPACITACIÓN</t>
  </si>
  <si>
    <t>CARÁCTER</t>
  </si>
  <si>
    <t>FISCAL</t>
  </si>
  <si>
    <t>PRIVADO</t>
  </si>
  <si>
    <t>Apellidos y Nombres</t>
  </si>
  <si>
    <t xml:space="preserve">R.M.   </t>
  </si>
  <si>
    <t>ELABORADO POR:</t>
  </si>
  <si>
    <t>NOMBRE:</t>
  </si>
  <si>
    <t>CARGO:</t>
  </si>
  <si>
    <t>FIRMA:</t>
  </si>
  <si>
    <t>FECHA:</t>
  </si>
  <si>
    <r>
      <rPr>
        <b/>
        <sz val="12"/>
        <color theme="1" tint="4.9989318521683403E-2"/>
        <rFont val="Calibri"/>
        <family val="2"/>
        <scheme val="minor"/>
      </rPr>
      <t>INSTITUCIÓN:</t>
    </r>
    <r>
      <rPr>
        <sz val="12"/>
        <color theme="1" tint="4.9989318521683403E-2"/>
        <rFont val="Calibri"/>
        <family val="2"/>
        <scheme val="minor"/>
      </rPr>
      <t xml:space="preserve"> </t>
    </r>
  </si>
  <si>
    <t>ANO</t>
  </si>
  <si>
    <t>Nro.</t>
  </si>
  <si>
    <t>MATERIA:</t>
  </si>
  <si>
    <t>DOCENTE:</t>
  </si>
  <si>
    <t>AÑO/SEMESTRE:</t>
  </si>
  <si>
    <t>SIGLA:</t>
  </si>
  <si>
    <t>TOTAL</t>
  </si>
  <si>
    <t>PORCENTAJE</t>
  </si>
  <si>
    <t>RESUMEN</t>
  </si>
  <si>
    <t>Aprobados</t>
  </si>
  <si>
    <t>Abandonos</t>
  </si>
  <si>
    <t xml:space="preserve">Sello de la </t>
  </si>
  <si>
    <t>DIRECTOR ACADEMICO</t>
  </si>
  <si>
    <t>DOCENTE DE  LA MATERIA</t>
  </si>
  <si>
    <t>institución</t>
  </si>
  <si>
    <t>Firma y Sello</t>
  </si>
  <si>
    <t xml:space="preserve">Firma y Sello </t>
  </si>
  <si>
    <t>Inscritos</t>
  </si>
  <si>
    <t>Reprobados</t>
  </si>
  <si>
    <t>Prom. Eval. Práctica</t>
  </si>
  <si>
    <t>Prom. Ev. Teórica</t>
  </si>
  <si>
    <t>Calificación Final</t>
  </si>
  <si>
    <t>Prueba de Recuper.</t>
  </si>
  <si>
    <t>Observación</t>
  </si>
  <si>
    <t>CANTIDAD</t>
  </si>
  <si>
    <t>PORCENT.</t>
  </si>
  <si>
    <t>Vo.Bo. RECTOR</t>
  </si>
  <si>
    <t>CONTADURIA GENERAL</t>
  </si>
  <si>
    <t>COMERCIAL Y SERVICIOS</t>
  </si>
  <si>
    <t>DIRECTORA ADMINISTRATIVA</t>
  </si>
  <si>
    <t>ORURO, 05 DE DICIEMBRE DE 2019</t>
  </si>
  <si>
    <t>MENCIÓN:</t>
  </si>
  <si>
    <t>ÁREA:</t>
  </si>
  <si>
    <t>CONTADURÍA GENERAL</t>
  </si>
  <si>
    <t>0906/02</t>
  </si>
  <si>
    <t>Profa. Rillma Marina Arandia Gomez</t>
  </si>
  <si>
    <t>TERCER AÑO - A</t>
  </si>
  <si>
    <t>COA-301</t>
  </si>
  <si>
    <t>COC-302</t>
  </si>
  <si>
    <t>COG-303</t>
  </si>
  <si>
    <t>CEP-304</t>
  </si>
  <si>
    <t>CSH-305</t>
  </si>
  <si>
    <t>GCI-306</t>
  </si>
  <si>
    <t>AEF-307</t>
  </si>
  <si>
    <t>TMG-308</t>
  </si>
  <si>
    <t>CONTABILIDAD AGROPECUARIA</t>
  </si>
  <si>
    <t>CONTABILIDAD DE COSTOS II</t>
  </si>
  <si>
    <t>CONTABILIDAD GUBERNAMENTAL</t>
  </si>
  <si>
    <t>CONTABILIDAD EXTRACTIVA (MINERA, PETROLERA Y FORESTAL)</t>
  </si>
  <si>
    <t>CONTABILIDAD DE SERVICIOS (CONSTRUCCIÓN, HOTELERÍA Y TRANSPORTE)</t>
  </si>
  <si>
    <t>GABINETA CONTABLE INFORMÁTICO</t>
  </si>
  <si>
    <t>ANÁLISIS E INTERPRETACIONES DE ESTADOS FINANCIEROS</t>
  </si>
  <si>
    <t>TALLER DE MODALIDAD DE GRADUACIÓN</t>
  </si>
  <si>
    <t>TERCER AÑO</t>
  </si>
  <si>
    <t>CONTABILIDAD EXTRACTIVA (Minera, Petrolera y Forestal)</t>
  </si>
  <si>
    <t>CONTABILIDAD DE SERVICIOS (Construcción, Hotelería y Transporte)</t>
  </si>
  <si>
    <t>GABINETE CONTABLE INFORMÁTICO</t>
  </si>
  <si>
    <t>DETALLE DE RESULTADOS DEL EXAMEN DE GRADO</t>
  </si>
  <si>
    <t xml:space="preserve">GESTION </t>
  </si>
  <si>
    <t>SISTEMAS INFORMATICOS</t>
  </si>
  <si>
    <t>Nº</t>
  </si>
  <si>
    <t>APELLIDOS Y NOMBRES</t>
  </si>
  <si>
    <t>NOTA NUMERAL</t>
  </si>
  <si>
    <t>NOTA LITERAL</t>
  </si>
  <si>
    <t>OBSERVACION</t>
  </si>
  <si>
    <t>SESENTA Y CINCO</t>
  </si>
  <si>
    <t>CINCUENTA Y CINCO</t>
  </si>
  <si>
    <t>HABILITADOS</t>
  </si>
  <si>
    <t>APROBADOS</t>
  </si>
  <si>
    <t>REPROBADOS</t>
  </si>
  <si>
    <t>Firma</t>
  </si>
  <si>
    <t xml:space="preserve">             Firma</t>
  </si>
  <si>
    <t>TRIBUNAL 1</t>
  </si>
  <si>
    <t>TRIBUNAL 2</t>
  </si>
  <si>
    <t xml:space="preserve">   TRIBUNAL - DDEO</t>
  </si>
  <si>
    <t>Sello de la</t>
  </si>
  <si>
    <t xml:space="preserve">       Firma y Sello</t>
  </si>
  <si>
    <t xml:space="preserve">                                            Rector                                                    Institución                                                   Director Académico</t>
  </si>
  <si>
    <t>LIC. DIVAR AURELIO CRUZ LOPEZ</t>
  </si>
  <si>
    <t>LIC. JEOVANA CHACA SANTANDER</t>
  </si>
  <si>
    <t>LIC. WILSON PEÑAFIEL SEJAS</t>
  </si>
  <si>
    <t>TERCER AÑO - B</t>
  </si>
  <si>
    <t>LIC. MARIA ELENA MAMANI MACEDA</t>
  </si>
  <si>
    <t xml:space="preserve">LIC. MARIA ELENA MAMANI MACEDA </t>
  </si>
  <si>
    <t>GESTIÓN ACADÉMICA:</t>
  </si>
  <si>
    <t>LIC. DAMARIZ MONICA INGALA VIZA</t>
  </si>
  <si>
    <t>4078247 Or.</t>
  </si>
  <si>
    <t>7405160 Or.</t>
  </si>
  <si>
    <t>4299411 Lp.</t>
  </si>
  <si>
    <t>7412669 Or.</t>
  </si>
  <si>
    <t>5737660 Or.</t>
  </si>
  <si>
    <t>4038174 Or.</t>
  </si>
  <si>
    <t>4062507 Or.</t>
  </si>
  <si>
    <t>7334651 Or.</t>
  </si>
  <si>
    <t>7386227 Or.</t>
  </si>
  <si>
    <t>7290846 Or.</t>
  </si>
  <si>
    <t>5760949 Or.</t>
  </si>
  <si>
    <t>12869116 Or.</t>
  </si>
  <si>
    <t>4326032 Lp.</t>
  </si>
  <si>
    <t>7365248 Or.</t>
  </si>
  <si>
    <t>7310141 Or.</t>
  </si>
  <si>
    <t>3555492 Or.</t>
  </si>
  <si>
    <t>5755908 Or.</t>
  </si>
  <si>
    <t>5766176 Or.</t>
  </si>
  <si>
    <t>3518645 Or.</t>
  </si>
  <si>
    <t>7283539 Or.</t>
  </si>
  <si>
    <t>7367456 Or.</t>
  </si>
  <si>
    <t>6681272-1D Pt.</t>
  </si>
  <si>
    <t>9920581 Lp.</t>
  </si>
  <si>
    <t>3514038 Or.</t>
  </si>
  <si>
    <t>7354154 Or.</t>
  </si>
  <si>
    <t>7363817 Or.</t>
  </si>
  <si>
    <t>12772929 Or.</t>
  </si>
  <si>
    <t>T.S. DAYANA VIRREIRA CANO</t>
  </si>
  <si>
    <t>SECRETARIA EJECUTIVA</t>
  </si>
  <si>
    <t xml:space="preserve">SECRETARIA EJECUTIVA </t>
  </si>
  <si>
    <t>Choque Choque Eneida</t>
  </si>
  <si>
    <t>Condori Felipez Nahely</t>
  </si>
  <si>
    <t>Cusi Cruz Ramiro</t>
  </si>
  <si>
    <t>Diaz Soruco Milenka Ingrid</t>
  </si>
  <si>
    <t>Fernandez Choque Karen Carolina</t>
  </si>
  <si>
    <t>Flores Condarco Eberth Luis</t>
  </si>
  <si>
    <t>Guarachi Bolivar Ariel Leonel</t>
  </si>
  <si>
    <t>Guarachi Bolivar Omar Rodrigo</t>
  </si>
  <si>
    <t>Lazarte Escobar Cristian Fernando</t>
  </si>
  <si>
    <t>Manzano Huanca David Hernan</t>
  </si>
  <si>
    <t>Salinas Lopez Elvis Alex</t>
  </si>
  <si>
    <t>Tellez Ledo Axel Jairo</t>
  </si>
  <si>
    <t>Atocha Mamani Ruben</t>
  </si>
  <si>
    <t>Bautista Yucra Judith</t>
  </si>
  <si>
    <t>Bejarano Loras Douglas</t>
  </si>
  <si>
    <t>Choque Paillo Jaime</t>
  </si>
  <si>
    <t>Coaquira Coaquira Monica</t>
  </si>
  <si>
    <t>Colque Ayala Carla Lorena</t>
  </si>
  <si>
    <t>Condori Titichoca Dieter Jherson</t>
  </si>
  <si>
    <t>Del Carpio Lora Marisela</t>
  </si>
  <si>
    <t>Felipez Veliz Ronald</t>
  </si>
  <si>
    <t>Fulguera Callata Jonathan</t>
  </si>
  <si>
    <t>Huarayo Cunurana Maribel</t>
  </si>
  <si>
    <t>Jamillo Cruz Jenny Laura</t>
  </si>
  <si>
    <t>Loaiza Lopez Jaime</t>
  </si>
  <si>
    <t>Lopez Sausiri Luis Alberto</t>
  </si>
  <si>
    <t>Martinez Mamani Gladis</t>
  </si>
  <si>
    <t>Poma Condori Juan Luis</t>
  </si>
  <si>
    <t>Puma Choque Veronica</t>
  </si>
  <si>
    <t>Quinta Quisbert Melinda Cecilia</t>
  </si>
  <si>
    <t>Quiñones Rueda Israel</t>
  </si>
  <si>
    <t>Quispe Quispe Jorge Luis</t>
  </si>
  <si>
    <t>Riva Loroño Jhoana Celina</t>
  </si>
  <si>
    <t>Romero Rodriguez Victor Hugo</t>
  </si>
  <si>
    <t>Santos Tola Carla Alejandra</t>
  </si>
  <si>
    <t>Tito Yucra Leiddy Olimpia</t>
  </si>
  <si>
    <t>Virreira Cano Nhataly Alizon</t>
  </si>
  <si>
    <t>ORURO, 25 DE NOVIEMBRE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</si>
</sst>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0"/>
      <color theme="8" tint="0.59999389629810485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8"/>
      <color theme="8" tint="0.7999816888943144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sz val="8"/>
      <color theme="0"/>
      <name val="Century Gothic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 tint="-0.499984740745262"/>
      <name val="Calibri"/>
      <family val="2"/>
      <scheme val="minor"/>
    </font>
    <font>
      <sz val="9"/>
      <color theme="0"/>
      <name val="Century Gothic"/>
      <family val="2"/>
    </font>
    <font>
      <sz val="14"/>
      <color theme="1"/>
      <name val="Calibri"/>
      <family val="2"/>
      <scheme val="minor"/>
    </font>
    <font>
      <sz val="9"/>
      <color theme="1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sz val="12"/>
      <color theme="0"/>
      <name val="Calibri"/>
      <family val="2"/>
      <scheme val="minor"/>
    </font>
    <font>
      <sz val="10"/>
      <color theme="1" tint="4.9989318521683403E-2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Agency FB"/>
      <family val="2"/>
    </font>
    <font>
      <sz val="8"/>
      <color theme="1" tint="4.9989318521683403E-2"/>
      <name val="Calibri"/>
      <family val="2"/>
      <scheme val="minor"/>
    </font>
    <font>
      <sz val="7"/>
      <color theme="1" tint="4.9989318521683403E-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gency FB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24994659260841701"/>
      </left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24994659260841701"/>
      </right>
      <top/>
      <bottom/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-0.499984740745262"/>
      </left>
      <right style="thin">
        <color indexed="64"/>
      </right>
      <top style="thin">
        <color theme="6" tint="-0.499984740745262"/>
      </top>
      <bottom style="thin">
        <color indexed="64"/>
      </bottom>
      <diagonal/>
    </border>
    <border>
      <left style="thin">
        <color theme="6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indexed="64"/>
      </right>
      <top/>
      <bottom style="thin">
        <color theme="6" tint="-0.499984740745262"/>
      </bottom>
      <diagonal/>
    </border>
    <border>
      <left style="thin">
        <color indexed="64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indexed="64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499984740745262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499984740745262"/>
      </top>
      <bottom/>
      <diagonal/>
    </border>
    <border>
      <left/>
      <right style="thin">
        <color indexed="64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indexed="64"/>
      </right>
      <top style="thin">
        <color theme="6" tint="-0.499984740745262"/>
      </top>
      <bottom/>
      <diagonal/>
    </border>
    <border>
      <left style="thin">
        <color theme="6" tint="-0.24994659260841701"/>
      </left>
      <right style="thin">
        <color theme="6" tint="-0.499984740745262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indexed="64"/>
      </top>
      <bottom style="thin">
        <color theme="6" tint="-0.499984740745262"/>
      </bottom>
      <diagonal/>
    </border>
  </borders>
  <cellStyleXfs count="14">
    <xf numFmtId="0" fontId="0" fillId="0" borderId="0"/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9" fontId="35" fillId="0" borderId="0" applyFont="0" applyFill="0" applyBorder="0" applyAlignment="0" applyProtection="0"/>
  </cellStyleXfs>
  <cellXfs count="208">
    <xf numFmtId="0" fontId="0" fillId="0" borderId="0" xfId="0"/>
    <xf numFmtId="0" fontId="0" fillId="0" borderId="0" xfId="0" applyBorder="1"/>
    <xf numFmtId="0" fontId="0" fillId="0" borderId="0" xfId="0" applyAlignment="1"/>
    <xf numFmtId="164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7" fillId="0" borderId="0" xfId="0" applyFont="1"/>
    <xf numFmtId="0" fontId="1" fillId="2" borderId="0" xfId="0" applyFont="1" applyFill="1"/>
    <xf numFmtId="0" fontId="6" fillId="2" borderId="0" xfId="0" applyFont="1" applyFill="1" applyAlignment="1" applyProtection="1">
      <protection locked="0"/>
    </xf>
    <xf numFmtId="0" fontId="4" fillId="0" borderId="0" xfId="0" applyFont="1"/>
    <xf numFmtId="0" fontId="5" fillId="2" borderId="0" xfId="0" applyFont="1" applyFill="1" applyBorder="1" applyAlignment="1" applyProtection="1">
      <alignment vertical="center" wrapText="1"/>
    </xf>
    <xf numFmtId="0" fontId="0" fillId="2" borderId="0" xfId="0" applyFill="1" applyAlignment="1" applyProtection="1"/>
    <xf numFmtId="0" fontId="0" fillId="0" borderId="0" xfId="0" applyFill="1"/>
    <xf numFmtId="0" fontId="0" fillId="2" borderId="0" xfId="0" applyFill="1" applyProtection="1">
      <protection locked="0"/>
    </xf>
    <xf numFmtId="0" fontId="6" fillId="2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/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1" fillId="2" borderId="0" xfId="0" applyFont="1" applyFill="1" applyBorder="1" applyAlignment="1">
      <alignment vertical="center" wrapText="1"/>
    </xf>
    <xf numFmtId="0" fontId="7" fillId="2" borderId="0" xfId="0" applyFont="1" applyFill="1" applyBorder="1" applyProtection="1">
      <protection locked="0"/>
    </xf>
    <xf numFmtId="0" fontId="21" fillId="2" borderId="0" xfId="0" applyFont="1" applyFill="1" applyBorder="1" applyAlignment="1">
      <alignment horizontal="justify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24" fillId="0" borderId="0" xfId="0" applyFont="1"/>
    <xf numFmtId="0" fontId="4" fillId="6" borderId="3" xfId="0" applyFont="1" applyFill="1" applyBorder="1"/>
    <xf numFmtId="0" fontId="2" fillId="6" borderId="3" xfId="0" applyFont="1" applyFill="1" applyBorder="1"/>
    <xf numFmtId="0" fontId="25" fillId="2" borderId="0" xfId="0" applyFont="1" applyFill="1" applyBorder="1" applyAlignment="1">
      <alignment vertical="center" wrapText="1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6" fillId="0" borderId="0" xfId="0" applyFont="1"/>
    <xf numFmtId="1" fontId="22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protection locked="0"/>
    </xf>
    <xf numFmtId="1" fontId="22" fillId="0" borderId="3" xfId="0" applyNumberFormat="1" applyFont="1" applyBorder="1" applyProtection="1">
      <protection locked="0"/>
    </xf>
    <xf numFmtId="1" fontId="22" fillId="0" borderId="3" xfId="0" applyNumberFormat="1" applyFont="1" applyBorder="1" applyAlignment="1" applyProtection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3" fillId="0" borderId="19" xfId="0" applyFont="1" applyBorder="1" applyAlignment="1" applyProtection="1">
      <protection locked="0"/>
    </xf>
    <xf numFmtId="0" fontId="11" fillId="4" borderId="20" xfId="0" applyFont="1" applyFill="1" applyBorder="1" applyAlignment="1" applyProtection="1">
      <alignment horizontal="center" vertical="center"/>
      <protection locked="0"/>
    </xf>
    <xf numFmtId="0" fontId="14" fillId="5" borderId="20" xfId="0" applyFont="1" applyFill="1" applyBorder="1" applyAlignment="1" applyProtection="1">
      <alignment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31" fillId="2" borderId="20" xfId="0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Protection="1">
      <protection locked="0"/>
    </xf>
    <xf numFmtId="9" fontId="6" fillId="3" borderId="20" xfId="0" applyNumberFormat="1" applyFont="1" applyFill="1" applyBorder="1" applyAlignment="1" applyProtection="1">
      <alignment horizontal="center"/>
      <protection locked="0"/>
    </xf>
    <xf numFmtId="9" fontId="6" fillId="3" borderId="20" xfId="0" applyNumberFormat="1" applyFont="1" applyFill="1" applyBorder="1" applyAlignment="1" applyProtection="1">
      <alignment horizontal="center"/>
      <protection locked="0" hidden="1"/>
    </xf>
    <xf numFmtId="0" fontId="0" fillId="0" borderId="0" xfId="0" applyAlignment="1" applyProtection="1">
      <alignment horizontal="center"/>
      <protection locked="0"/>
    </xf>
    <xf numFmtId="0" fontId="27" fillId="6" borderId="14" xfId="0" applyFont="1" applyFill="1" applyBorder="1" applyAlignment="1">
      <alignment horizontal="center"/>
    </xf>
    <xf numFmtId="1" fontId="31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33" fillId="0" borderId="21" xfId="0" applyNumberFormat="1" applyFont="1" applyFill="1" applyBorder="1" applyAlignment="1" applyProtection="1">
      <alignment horizontal="right" vertical="center"/>
    </xf>
    <xf numFmtId="0" fontId="33" fillId="0" borderId="21" xfId="0" applyFont="1" applyFill="1" applyBorder="1" applyAlignment="1">
      <alignment horizontal="right" vertical="center"/>
    </xf>
    <xf numFmtId="0" fontId="37" fillId="0" borderId="21" xfId="0" applyFont="1" applyFill="1" applyBorder="1" applyAlignment="1">
      <alignment horizontal="right" vertical="center"/>
    </xf>
    <xf numFmtId="0" fontId="17" fillId="2" borderId="20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/>
    <xf numFmtId="0" fontId="39" fillId="10" borderId="23" xfId="0" applyFont="1" applyFill="1" applyBorder="1" applyAlignment="1">
      <alignment horizontal="center" vertical="center" wrapText="1"/>
    </xf>
    <xf numFmtId="0" fontId="41" fillId="11" borderId="23" xfId="0" applyFont="1" applyFill="1" applyBorder="1" applyAlignment="1" applyProtection="1">
      <alignment horizontal="right" vertical="center" wrapText="1"/>
      <protection locked="0"/>
    </xf>
    <xf numFmtId="0" fontId="41" fillId="11" borderId="23" xfId="0" applyFont="1" applyFill="1" applyBorder="1" applyAlignment="1" applyProtection="1">
      <alignment horizontal="center" vertical="center" wrapText="1"/>
      <protection locked="0"/>
    </xf>
    <xf numFmtId="0" fontId="42" fillId="11" borderId="24" xfId="0" applyFont="1" applyFill="1" applyBorder="1" applyAlignment="1" applyProtection="1">
      <alignment vertical="center" wrapText="1"/>
      <protection locked="0"/>
    </xf>
    <xf numFmtId="0" fontId="42" fillId="11" borderId="25" xfId="0" applyFont="1" applyFill="1" applyBorder="1" applyAlignment="1" applyProtection="1">
      <alignment vertical="center" wrapText="1"/>
      <protection locked="0"/>
    </xf>
    <xf numFmtId="0" fontId="42" fillId="11" borderId="24" xfId="0" applyFont="1" applyFill="1" applyBorder="1" applyAlignment="1" applyProtection="1">
      <alignment horizontal="center" vertical="center" wrapText="1"/>
      <protection locked="0"/>
    </xf>
    <xf numFmtId="0" fontId="42" fillId="11" borderId="25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" fillId="0" borderId="0" xfId="0" applyFont="1" applyBorder="1" applyAlignment="1">
      <alignment horizontal="center"/>
    </xf>
    <xf numFmtId="0" fontId="44" fillId="0" borderId="0" xfId="0" applyFont="1"/>
    <xf numFmtId="0" fontId="45" fillId="0" borderId="0" xfId="0" applyFont="1" applyBorder="1" applyAlignment="1"/>
    <xf numFmtId="0" fontId="45" fillId="0" borderId="0" xfId="0" applyFont="1" applyBorder="1" applyAlignment="1">
      <alignment horizontal="center"/>
    </xf>
    <xf numFmtId="0" fontId="45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/>
    <xf numFmtId="0" fontId="24" fillId="0" borderId="0" xfId="0" applyFont="1" applyAlignment="1"/>
    <xf numFmtId="0" fontId="46" fillId="0" borderId="21" xfId="0" applyNumberFormat="1" applyFont="1" applyFill="1" applyBorder="1" applyAlignment="1" applyProtection="1">
      <alignment horizontal="left"/>
    </xf>
    <xf numFmtId="0" fontId="46" fillId="0" borderId="21" xfId="0" applyNumberFormat="1" applyFont="1" applyFill="1" applyBorder="1" applyAlignment="1" applyProtection="1">
      <alignment horizontal="left" vertical="top"/>
    </xf>
    <xf numFmtId="0" fontId="50" fillId="0" borderId="21" xfId="0" applyNumberFormat="1" applyFont="1" applyFill="1" applyBorder="1" applyAlignment="1" applyProtection="1">
      <alignment horizontal="left" vertical="center"/>
    </xf>
    <xf numFmtId="1" fontId="22" fillId="0" borderId="18" xfId="0" applyNumberFormat="1" applyFont="1" applyBorder="1" applyAlignment="1" applyProtection="1">
      <alignment horizontal="center" vertical="center" wrapText="1"/>
      <protection locked="0"/>
    </xf>
    <xf numFmtId="0" fontId="22" fillId="0" borderId="17" xfId="0" applyFont="1" applyBorder="1" applyAlignment="1" applyProtection="1">
      <alignment horizontal="center" vertical="center" wrapText="1"/>
      <protection locked="0"/>
    </xf>
    <xf numFmtId="0" fontId="49" fillId="0" borderId="21" xfId="0" applyFont="1" applyBorder="1"/>
    <xf numFmtId="0" fontId="49" fillId="0" borderId="30" xfId="0" applyFont="1" applyBorder="1"/>
    <xf numFmtId="0" fontId="49" fillId="0" borderId="32" xfId="0" applyFont="1" applyBorder="1"/>
    <xf numFmtId="0" fontId="49" fillId="0" borderId="33" xfId="0" applyFont="1" applyBorder="1"/>
    <xf numFmtId="0" fontId="49" fillId="0" borderId="11" xfId="0" applyFont="1" applyBorder="1"/>
    <xf numFmtId="0" fontId="49" fillId="0" borderId="34" xfId="0" applyFont="1" applyBorder="1"/>
    <xf numFmtId="0" fontId="49" fillId="0" borderId="29" xfId="0" applyFont="1" applyBorder="1"/>
    <xf numFmtId="0" fontId="49" fillId="0" borderId="36" xfId="0" applyFont="1" applyBorder="1"/>
    <xf numFmtId="0" fontId="22" fillId="0" borderId="44" xfId="0" applyFont="1" applyBorder="1" applyAlignment="1" applyProtection="1">
      <alignment horizontal="center" vertical="center" wrapText="1"/>
      <protection locked="0"/>
    </xf>
    <xf numFmtId="1" fontId="22" fillId="0" borderId="46" xfId="0" applyNumberFormat="1" applyFont="1" applyBorder="1" applyAlignment="1" applyProtection="1">
      <alignment horizontal="center" vertical="center" wrapText="1"/>
      <protection locked="0"/>
    </xf>
    <xf numFmtId="0" fontId="49" fillId="0" borderId="38" xfId="0" applyFont="1" applyBorder="1"/>
    <xf numFmtId="0" fontId="49" fillId="0" borderId="35" xfId="0" applyFont="1" applyBorder="1"/>
    <xf numFmtId="0" fontId="49" fillId="0" borderId="48" xfId="0" applyFont="1" applyBorder="1"/>
    <xf numFmtId="0" fontId="16" fillId="3" borderId="20" xfId="0" applyFont="1" applyFill="1" applyBorder="1" applyAlignment="1">
      <alignment horizontal="left" vertical="center" wrapText="1"/>
    </xf>
    <xf numFmtId="0" fontId="30" fillId="4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0" fillId="3" borderId="10" xfId="0" applyFill="1" applyBorder="1" applyAlignment="1" applyProtection="1">
      <alignment horizontal="center"/>
      <protection locked="0"/>
    </xf>
    <xf numFmtId="0" fontId="15" fillId="4" borderId="20" xfId="0" applyFont="1" applyFill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/>
    </xf>
    <xf numFmtId="14" fontId="0" fillId="3" borderId="10" xfId="0" applyNumberFormat="1" applyFill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31" fillId="2" borderId="20" xfId="0" applyFont="1" applyFill="1" applyBorder="1" applyAlignment="1" applyProtection="1">
      <alignment horizontal="left"/>
      <protection locked="0"/>
    </xf>
    <xf numFmtId="0" fontId="10" fillId="9" borderId="20" xfId="0" applyFont="1" applyFill="1" applyBorder="1" applyAlignment="1" applyProtection="1">
      <alignment horizontal="center" vertical="center" textRotation="90" wrapText="1"/>
      <protection locked="0"/>
    </xf>
    <xf numFmtId="0" fontId="13" fillId="4" borderId="20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2" fillId="5" borderId="20" xfId="0" applyFont="1" applyFill="1" applyBorder="1" applyAlignment="1" applyProtection="1">
      <alignment horizontal="center" vertical="center"/>
      <protection locked="0"/>
    </xf>
    <xf numFmtId="0" fontId="9" fillId="9" borderId="20" xfId="0" applyFont="1" applyFill="1" applyBorder="1" applyAlignment="1" applyProtection="1">
      <alignment horizontal="center" vertical="center" textRotation="90"/>
    </xf>
    <xf numFmtId="0" fontId="10" fillId="9" borderId="20" xfId="0" applyFont="1" applyFill="1" applyBorder="1" applyAlignment="1" applyProtection="1">
      <alignment horizontal="center" vertical="center" textRotation="90" wrapText="1"/>
    </xf>
    <xf numFmtId="0" fontId="18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right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33" fillId="0" borderId="1" xfId="0" applyNumberFormat="1" applyFont="1" applyFill="1" applyBorder="1" applyAlignment="1" applyProtection="1">
      <alignment horizontal="left" vertical="center"/>
    </xf>
    <xf numFmtId="0" fontId="33" fillId="0" borderId="2" xfId="0" applyNumberFormat="1" applyFont="1" applyFill="1" applyBorder="1" applyAlignment="1" applyProtection="1">
      <alignment horizontal="left" vertical="center"/>
    </xf>
    <xf numFmtId="1" fontId="22" fillId="0" borderId="17" xfId="0" applyNumberFormat="1" applyFont="1" applyBorder="1" applyAlignment="1" applyProtection="1">
      <alignment horizontal="center" vertical="center" wrapText="1"/>
      <protection locked="0"/>
    </xf>
    <xf numFmtId="1" fontId="22" fillId="0" borderId="1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0" fillId="8" borderId="13" xfId="0" applyFill="1" applyBorder="1" applyAlignment="1" applyProtection="1">
      <alignment horizontal="center"/>
      <protection locked="0"/>
    </xf>
    <xf numFmtId="0" fontId="0" fillId="8" borderId="12" xfId="0" applyFill="1" applyBorder="1" applyAlignment="1" applyProtection="1">
      <alignment horizontal="center"/>
      <protection locked="0"/>
    </xf>
    <xf numFmtId="0" fontId="3" fillId="8" borderId="12" xfId="0" applyFont="1" applyFill="1" applyBorder="1" applyAlignment="1" applyProtection="1">
      <alignment horizontal="center"/>
      <protection locked="0"/>
    </xf>
    <xf numFmtId="0" fontId="3" fillId="8" borderId="0" xfId="0" applyFont="1" applyFill="1" applyBorder="1" applyAlignment="1" applyProtection="1">
      <alignment horizontal="center"/>
      <protection locked="0"/>
    </xf>
    <xf numFmtId="0" fontId="3" fillId="8" borderId="16" xfId="0" applyFont="1" applyFill="1" applyBorder="1" applyAlignment="1" applyProtection="1">
      <alignment horizontal="center"/>
      <protection locked="0"/>
    </xf>
    <xf numFmtId="0" fontId="0" fillId="8" borderId="0" xfId="0" applyFill="1" applyBorder="1" applyAlignment="1" applyProtection="1">
      <alignment horizontal="center"/>
      <protection locked="0"/>
    </xf>
    <xf numFmtId="0" fontId="0" fillId="8" borderId="16" xfId="0" applyFill="1" applyBorder="1" applyAlignment="1" applyProtection="1">
      <alignment horizontal="center"/>
      <protection locked="0"/>
    </xf>
    <xf numFmtId="0" fontId="23" fillId="7" borderId="3" xfId="0" applyFont="1" applyFill="1" applyBorder="1" applyAlignment="1">
      <alignment horizontal="center" vertical="center" wrapText="1"/>
    </xf>
    <xf numFmtId="0" fontId="29" fillId="7" borderId="17" xfId="0" applyFont="1" applyFill="1" applyBorder="1" applyAlignment="1">
      <alignment horizontal="center" vertical="center" wrapText="1"/>
    </xf>
    <xf numFmtId="0" fontId="29" fillId="7" borderId="18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3" fillId="0" borderId="22" xfId="0" applyNumberFormat="1" applyFont="1" applyFill="1" applyBorder="1" applyAlignment="1" applyProtection="1">
      <alignment horizontal="left" vertical="center"/>
    </xf>
    <xf numFmtId="0" fontId="36" fillId="0" borderId="1" xfId="0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/>
    </xf>
    <xf numFmtId="0" fontId="22" fillId="0" borderId="3" xfId="0" applyFont="1" applyBorder="1" applyAlignment="1" applyProtection="1">
      <alignment vertical="center" wrapText="1"/>
      <protection locked="0"/>
    </xf>
    <xf numFmtId="0" fontId="22" fillId="0" borderId="3" xfId="0" applyFont="1" applyFill="1" applyBorder="1" applyAlignment="1" applyProtection="1">
      <alignment vertical="center" wrapText="1"/>
      <protection locked="0"/>
    </xf>
    <xf numFmtId="0" fontId="27" fillId="6" borderId="1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9" fontId="3" fillId="0" borderId="1" xfId="13" applyFont="1" applyBorder="1" applyAlignment="1" applyProtection="1">
      <alignment horizontal="center"/>
      <protection locked="0"/>
    </xf>
    <xf numFmtId="9" fontId="3" fillId="0" borderId="2" xfId="13" applyFont="1" applyBorder="1" applyAlignment="1" applyProtection="1">
      <alignment horizontal="center"/>
      <protection locked="0"/>
    </xf>
    <xf numFmtId="0" fontId="38" fillId="8" borderId="12" xfId="0" applyFont="1" applyFill="1" applyBorder="1" applyAlignment="1" applyProtection="1">
      <alignment horizontal="center"/>
      <protection locked="0"/>
    </xf>
    <xf numFmtId="0" fontId="38" fillId="8" borderId="0" xfId="0" applyFont="1" applyFill="1" applyBorder="1" applyAlignment="1" applyProtection="1">
      <alignment horizontal="center"/>
      <protection locked="0"/>
    </xf>
    <xf numFmtId="0" fontId="38" fillId="8" borderId="16" xfId="0" applyFont="1" applyFill="1" applyBorder="1" applyAlignment="1" applyProtection="1">
      <alignment horizontal="center"/>
      <protection locked="0"/>
    </xf>
    <xf numFmtId="0" fontId="6" fillId="8" borderId="12" xfId="0" applyFont="1" applyFill="1" applyBorder="1" applyAlignment="1" applyProtection="1">
      <alignment horizontal="center"/>
      <protection locked="0"/>
    </xf>
    <xf numFmtId="0" fontId="6" fillId="8" borderId="0" xfId="0" applyFont="1" applyFill="1" applyBorder="1" applyAlignment="1" applyProtection="1">
      <alignment horizontal="center"/>
      <protection locked="0"/>
    </xf>
    <xf numFmtId="0" fontId="6" fillId="8" borderId="16" xfId="0" applyFont="1" applyFill="1" applyBorder="1" applyAlignment="1" applyProtection="1">
      <alignment horizontal="center"/>
      <protection locked="0"/>
    </xf>
    <xf numFmtId="1" fontId="31" fillId="2" borderId="20" xfId="0" applyNumberFormat="1" applyFont="1" applyFill="1" applyBorder="1" applyAlignment="1" applyProtection="1">
      <alignment horizontal="left"/>
      <protection locked="0"/>
    </xf>
    <xf numFmtId="0" fontId="13" fillId="4" borderId="20" xfId="0" applyFont="1" applyFill="1" applyBorder="1" applyAlignment="1">
      <alignment horizontal="center" vertical="center" wrapText="1"/>
    </xf>
    <xf numFmtId="0" fontId="49" fillId="0" borderId="1" xfId="0" applyNumberFormat="1" applyFont="1" applyFill="1" applyBorder="1" applyAlignment="1" applyProtection="1">
      <alignment horizontal="left"/>
    </xf>
    <xf numFmtId="0" fontId="49" fillId="0" borderId="2" xfId="0" applyNumberFormat="1" applyFont="1" applyFill="1" applyBorder="1" applyAlignment="1" applyProtection="1">
      <alignment horizontal="left"/>
    </xf>
    <xf numFmtId="0" fontId="33" fillId="0" borderId="1" xfId="0" applyNumberFormat="1" applyFont="1" applyFill="1" applyBorder="1" applyAlignment="1" applyProtection="1">
      <alignment horizontal="left"/>
    </xf>
    <xf numFmtId="0" fontId="33" fillId="0" borderId="2" xfId="0" applyNumberFormat="1" applyFont="1" applyFill="1" applyBorder="1" applyAlignment="1" applyProtection="1">
      <alignment horizontal="left"/>
    </xf>
    <xf numFmtId="0" fontId="49" fillId="0" borderId="3" xfId="0" applyFont="1" applyBorder="1" applyAlignment="1" applyProtection="1">
      <alignment vertical="center" wrapText="1"/>
      <protection locked="0"/>
    </xf>
    <xf numFmtId="0" fontId="33" fillId="0" borderId="41" xfId="0" applyNumberFormat="1" applyFont="1" applyFill="1" applyBorder="1" applyAlignment="1" applyProtection="1">
      <alignment horizontal="left" vertical="center"/>
    </xf>
    <xf numFmtId="0" fontId="33" fillId="0" borderId="42" xfId="0" applyNumberFormat="1" applyFont="1" applyFill="1" applyBorder="1" applyAlignment="1" applyProtection="1">
      <alignment horizontal="left" vertical="center"/>
    </xf>
    <xf numFmtId="0" fontId="22" fillId="0" borderId="40" xfId="0" applyFont="1" applyBorder="1" applyAlignment="1" applyProtection="1">
      <alignment vertical="center" wrapText="1"/>
      <protection locked="0"/>
    </xf>
    <xf numFmtId="0" fontId="49" fillId="0" borderId="37" xfId="0" applyNumberFormat="1" applyFont="1" applyFill="1" applyBorder="1" applyAlignment="1" applyProtection="1">
      <alignment horizontal="left"/>
    </xf>
    <xf numFmtId="0" fontId="49" fillId="0" borderId="38" xfId="0" applyNumberFormat="1" applyFont="1" applyFill="1" applyBorder="1" applyAlignment="1" applyProtection="1">
      <alignment horizontal="left"/>
    </xf>
    <xf numFmtId="0" fontId="49" fillId="0" borderId="31" xfId="0" applyNumberFormat="1" applyFont="1" applyFill="1" applyBorder="1" applyAlignment="1" applyProtection="1">
      <alignment horizontal="left"/>
    </xf>
    <xf numFmtId="0" fontId="49" fillId="0" borderId="36" xfId="0" applyNumberFormat="1" applyFont="1" applyFill="1" applyBorder="1" applyAlignment="1" applyProtection="1">
      <alignment horizontal="left"/>
    </xf>
    <xf numFmtId="0" fontId="49" fillId="0" borderId="43" xfId="0" applyNumberFormat="1" applyFont="1" applyFill="1" applyBorder="1" applyAlignment="1" applyProtection="1">
      <alignment horizontal="left"/>
    </xf>
    <xf numFmtId="0" fontId="49" fillId="0" borderId="39" xfId="0" applyNumberFormat="1" applyFont="1" applyFill="1" applyBorder="1" applyAlignment="1" applyProtection="1">
      <alignment horizontal="left"/>
    </xf>
    <xf numFmtId="0" fontId="49" fillId="0" borderId="34" xfId="0" applyNumberFormat="1" applyFont="1" applyFill="1" applyBorder="1" applyAlignment="1" applyProtection="1">
      <alignment horizontal="left"/>
    </xf>
    <xf numFmtId="0" fontId="49" fillId="0" borderId="45" xfId="0" applyNumberFormat="1" applyFont="1" applyFill="1" applyBorder="1" applyAlignment="1" applyProtection="1">
      <alignment horizontal="left"/>
    </xf>
    <xf numFmtId="0" fontId="49" fillId="0" borderId="47" xfId="0" applyNumberFormat="1" applyFont="1" applyFill="1" applyBorder="1" applyAlignment="1" applyProtection="1">
      <alignment horizontal="left"/>
    </xf>
    <xf numFmtId="0" fontId="1" fillId="0" borderId="0" xfId="0" applyFont="1" applyBorder="1" applyAlignment="1">
      <alignment horizontal="center"/>
    </xf>
    <xf numFmtId="0" fontId="1" fillId="11" borderId="26" xfId="0" applyFont="1" applyFill="1" applyBorder="1" applyAlignment="1">
      <alignment horizontal="left"/>
    </xf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left" vertical="top"/>
    </xf>
    <xf numFmtId="0" fontId="42" fillId="11" borderId="24" xfId="0" applyFont="1" applyFill="1" applyBorder="1" applyAlignment="1" applyProtection="1">
      <alignment horizontal="center" vertical="center" wrapText="1"/>
      <protection locked="0"/>
    </xf>
    <xf numFmtId="0" fontId="42" fillId="11" borderId="25" xfId="0" applyFont="1" applyFill="1" applyBorder="1" applyAlignment="1" applyProtection="1">
      <alignment horizontal="center" vertical="center" wrapText="1"/>
      <protection locked="0"/>
    </xf>
    <xf numFmtId="0" fontId="42" fillId="11" borderId="23" xfId="0" applyFont="1" applyFill="1" applyBorder="1" applyAlignment="1" applyProtection="1">
      <alignment horizontal="center" vertical="center" wrapText="1"/>
      <protection locked="0"/>
    </xf>
    <xf numFmtId="0" fontId="43" fillId="0" borderId="26" xfId="0" applyFont="1" applyBorder="1" applyAlignment="1">
      <alignment horizontal="center"/>
    </xf>
    <xf numFmtId="0" fontId="42" fillId="11" borderId="24" xfId="0" applyFont="1" applyFill="1" applyBorder="1" applyAlignment="1" applyProtection="1">
      <alignment horizontal="left" vertical="center" wrapText="1"/>
      <protection locked="0"/>
    </xf>
    <xf numFmtId="0" fontId="42" fillId="11" borderId="25" xfId="0" applyFont="1" applyFill="1" applyBorder="1" applyAlignment="1" applyProtection="1">
      <alignment horizontal="left" vertical="center" wrapText="1"/>
      <protection locked="0"/>
    </xf>
    <xf numFmtId="0" fontId="48" fillId="11" borderId="24" xfId="0" applyFont="1" applyFill="1" applyBorder="1" applyAlignment="1" applyProtection="1">
      <alignment horizontal="left" vertical="center" wrapText="1"/>
      <protection locked="0"/>
    </xf>
    <xf numFmtId="0" fontId="48" fillId="11" borderId="25" xfId="0" applyFont="1" applyFill="1" applyBorder="1" applyAlignment="1" applyProtection="1">
      <alignment horizontal="left" vertical="center" wrapText="1"/>
      <protection locked="0"/>
    </xf>
    <xf numFmtId="0" fontId="47" fillId="11" borderId="24" xfId="0" applyFont="1" applyFill="1" applyBorder="1" applyAlignment="1" applyProtection="1">
      <alignment horizontal="left" vertical="center" wrapText="1"/>
      <protection locked="0"/>
    </xf>
    <xf numFmtId="0" fontId="47" fillId="11" borderId="25" xfId="0" applyFont="1" applyFill="1" applyBorder="1" applyAlignment="1" applyProtection="1">
      <alignment horizontal="left" vertical="center" wrapText="1"/>
      <protection locked="0"/>
    </xf>
    <xf numFmtId="0" fontId="40" fillId="10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48" fillId="11" borderId="23" xfId="0" applyFont="1" applyFill="1" applyBorder="1" applyAlignment="1" applyProtection="1">
      <alignment horizontal="left" vertical="center" wrapText="1"/>
      <protection locked="0"/>
    </xf>
    <xf numFmtId="0" fontId="48" fillId="11" borderId="27" xfId="0" applyFont="1" applyFill="1" applyBorder="1" applyAlignment="1" applyProtection="1">
      <alignment horizontal="left" vertical="center" wrapText="1"/>
      <protection locked="0"/>
    </xf>
    <xf numFmtId="0" fontId="41" fillId="11" borderId="28" xfId="0" applyFont="1" applyFill="1" applyBorder="1" applyAlignment="1" applyProtection="1">
      <alignment horizontal="left" vertical="center" wrapText="1"/>
      <protection locked="0"/>
    </xf>
    <xf numFmtId="0" fontId="42" fillId="11" borderId="23" xfId="0" applyFont="1" applyFill="1" applyBorder="1" applyAlignment="1" applyProtection="1">
      <alignment horizontal="left" vertical="center" wrapText="1"/>
      <protection locked="0"/>
    </xf>
    <xf numFmtId="0" fontId="48" fillId="11" borderId="23" xfId="0" applyFont="1" applyFill="1" applyBorder="1" applyAlignment="1" applyProtection="1">
      <alignment horizontal="left" vertical="center"/>
      <protection locked="0"/>
    </xf>
    <xf numFmtId="0" fontId="41" fillId="11" borderId="23" xfId="0" applyFont="1" applyFill="1" applyBorder="1" applyAlignment="1" applyProtection="1">
      <alignment horizontal="left" vertical="center" wrapText="1"/>
      <protection locked="0"/>
    </xf>
  </cellXfs>
  <cellStyles count="14">
    <cellStyle name="Normal" xfId="0" builtinId="0"/>
    <cellStyle name="Normal 10" xfId="8"/>
    <cellStyle name="Normal 11" xfId="9"/>
    <cellStyle name="Normal 12" xfId="10"/>
    <cellStyle name="Normal 13" xfId="11"/>
    <cellStyle name="Normal 2" xfId="1"/>
    <cellStyle name="Normal 3" xfId="2"/>
    <cellStyle name="Normal 5" xfId="3"/>
    <cellStyle name="Normal 5 2" xfId="12"/>
    <cellStyle name="Normal 6" xfId="4"/>
    <cellStyle name="Normal 7" xfId="5"/>
    <cellStyle name="Normal 8" xfId="6"/>
    <cellStyle name="Normal 9" xfId="7"/>
    <cellStyle name="Porcentaje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34018</xdr:rowOff>
    </xdr:from>
    <xdr:to>
      <xdr:col>1</xdr:col>
      <xdr:colOff>340179</xdr:colOff>
      <xdr:row>4</xdr:row>
      <xdr:rowOff>143600</xdr:rowOff>
    </xdr:to>
    <xdr:sp macro="" textlink="">
      <xdr:nvSpPr>
        <xdr:cNvPr id="2" name="Cuadro de texto 7"/>
        <xdr:cNvSpPr txBox="1"/>
      </xdr:nvSpPr>
      <xdr:spPr>
        <a:xfrm>
          <a:off x="1" y="957943"/>
          <a:ext cx="1016453" cy="109582"/>
        </a:xfrm>
        <a:prstGeom prst="rect">
          <a:avLst/>
        </a:prstGeom>
        <a:solidFill>
          <a:prstClr val="white"/>
        </a:solidFill>
        <a:ln>
          <a:noFill/>
        </a:ln>
        <a:effectLst/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 algn="ctr">
            <a:spcAft>
              <a:spcPts val="1000"/>
            </a:spcAft>
          </a:pPr>
          <a:r>
            <a:rPr lang="es-BO" sz="700" i="1">
              <a:solidFill>
                <a:srgbClr val="44546A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ORURO-BOLIVIA</a:t>
          </a:r>
        </a:p>
      </xdr:txBody>
    </xdr:sp>
    <xdr:clientData/>
  </xdr:twoCellAnchor>
  <xdr:twoCellAnchor editAs="absolute">
    <xdr:from>
      <xdr:col>0</xdr:col>
      <xdr:colOff>160182</xdr:colOff>
      <xdr:row>0</xdr:row>
      <xdr:rowOff>76756</xdr:rowOff>
    </xdr:from>
    <xdr:to>
      <xdr:col>3</xdr:col>
      <xdr:colOff>104775</xdr:colOff>
      <xdr:row>4</xdr:row>
      <xdr:rowOff>104774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82" y="76756"/>
          <a:ext cx="1306668" cy="951943"/>
        </a:xfrm>
        <a:prstGeom prst="rect">
          <a:avLst/>
        </a:prstGeom>
      </xdr:spPr>
    </xdr:pic>
    <xdr:clientData fLocksWithSheet="0"/>
  </xdr:twoCellAnchor>
  <xdr:twoCellAnchor editAs="absolute">
    <xdr:from>
      <xdr:col>20</xdr:col>
      <xdr:colOff>86172</xdr:colOff>
      <xdr:row>1</xdr:row>
      <xdr:rowOff>21553</xdr:rowOff>
    </xdr:from>
    <xdr:to>
      <xdr:col>21</xdr:col>
      <xdr:colOff>425171</xdr:colOff>
      <xdr:row>2</xdr:row>
      <xdr:rowOff>242669</xdr:rowOff>
    </xdr:to>
    <xdr:grpSp>
      <xdr:nvGrpSpPr>
        <xdr:cNvPr id="4" name="Grupo 3"/>
        <xdr:cNvGrpSpPr/>
      </xdr:nvGrpSpPr>
      <xdr:grpSpPr>
        <a:xfrm>
          <a:off x="12087672" y="218403"/>
          <a:ext cx="846999" cy="411616"/>
          <a:chOff x="77940" y="-30259"/>
          <a:chExt cx="1080015" cy="474059"/>
        </a:xfrm>
      </xdr:grpSpPr>
      <xdr:sp macro="" textlink="">
        <xdr:nvSpPr>
          <xdr:cNvPr id="5" name="Rectángulo redondeado 4"/>
          <xdr:cNvSpPr/>
        </xdr:nvSpPr>
        <xdr:spPr>
          <a:xfrm>
            <a:off x="77940" y="-30259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 fLocksText="0">
        <xdr:nvSpPr>
          <xdr:cNvPr id="6" name="Rectángulo redondeado 5"/>
          <xdr:cNvSpPr/>
        </xdr:nvSpPr>
        <xdr:spPr>
          <a:xfrm>
            <a:off x="161669" y="129901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9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FOLIO  5</a:t>
            </a: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46218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2924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279406" y="9256101"/>
          <a:ext cx="14621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0</xdr:rowOff>
    </xdr:from>
    <xdr:to>
      <xdr:col>3</xdr:col>
      <xdr:colOff>9526</xdr:colOff>
      <xdr:row>3</xdr:row>
      <xdr:rowOff>142875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1219200" cy="9144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34018</xdr:rowOff>
    </xdr:from>
    <xdr:to>
      <xdr:col>1</xdr:col>
      <xdr:colOff>340179</xdr:colOff>
      <xdr:row>4</xdr:row>
      <xdr:rowOff>143600</xdr:rowOff>
    </xdr:to>
    <xdr:sp macro="" textlink="">
      <xdr:nvSpPr>
        <xdr:cNvPr id="2" name="Cuadro de texto 7"/>
        <xdr:cNvSpPr txBox="1"/>
      </xdr:nvSpPr>
      <xdr:spPr>
        <a:xfrm>
          <a:off x="1" y="957943"/>
          <a:ext cx="1016453" cy="109582"/>
        </a:xfrm>
        <a:prstGeom prst="rect">
          <a:avLst/>
        </a:prstGeom>
        <a:solidFill>
          <a:prstClr val="white"/>
        </a:solidFill>
        <a:ln>
          <a:noFill/>
        </a:ln>
        <a:effectLst/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 algn="ctr">
            <a:spcAft>
              <a:spcPts val="1000"/>
            </a:spcAft>
          </a:pPr>
          <a:r>
            <a:rPr lang="es-BO" sz="700" i="1">
              <a:solidFill>
                <a:srgbClr val="44546A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ORURO-BOLIVIA</a:t>
          </a:r>
        </a:p>
      </xdr:txBody>
    </xdr:sp>
    <xdr:clientData/>
  </xdr:twoCellAnchor>
  <xdr:twoCellAnchor editAs="absolute">
    <xdr:from>
      <xdr:col>19</xdr:col>
      <xdr:colOff>270677</xdr:colOff>
      <xdr:row>1</xdr:row>
      <xdr:rowOff>21553</xdr:rowOff>
    </xdr:from>
    <xdr:to>
      <xdr:col>21</xdr:col>
      <xdr:colOff>111515</xdr:colOff>
      <xdr:row>2</xdr:row>
      <xdr:rowOff>242669</xdr:rowOff>
    </xdr:to>
    <xdr:grpSp>
      <xdr:nvGrpSpPr>
        <xdr:cNvPr id="4" name="Grupo 3"/>
        <xdr:cNvGrpSpPr/>
      </xdr:nvGrpSpPr>
      <xdr:grpSpPr>
        <a:xfrm>
          <a:off x="12088135" y="215282"/>
          <a:ext cx="831007" cy="414845"/>
          <a:chOff x="77940" y="-30259"/>
          <a:chExt cx="1080015" cy="474059"/>
        </a:xfrm>
      </xdr:grpSpPr>
      <xdr:sp macro="" textlink="">
        <xdr:nvSpPr>
          <xdr:cNvPr id="5" name="Rectángulo redondeado 4"/>
          <xdr:cNvSpPr/>
        </xdr:nvSpPr>
        <xdr:spPr>
          <a:xfrm>
            <a:off x="77940" y="-30259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 fLocksText="0">
        <xdr:nvSpPr>
          <xdr:cNvPr id="6" name="Rectángulo redondeado 5"/>
          <xdr:cNvSpPr/>
        </xdr:nvSpPr>
        <xdr:spPr>
          <a:xfrm>
            <a:off x="161669" y="129901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9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FOLIO  037</a:t>
            </a: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172579</xdr:rowOff>
    </xdr:from>
    <xdr:to>
      <xdr:col>3</xdr:col>
      <xdr:colOff>185854</xdr:colOff>
      <xdr:row>3</xdr:row>
      <xdr:rowOff>193709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579"/>
          <a:ext cx="1632856" cy="6583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331404" y="288034"/>
          <a:ext cx="857056" cy="355972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038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157842</xdr:colOff>
      <xdr:row>0</xdr:row>
      <xdr:rowOff>65314</xdr:rowOff>
    </xdr:from>
    <xdr:to>
      <xdr:col>3</xdr:col>
      <xdr:colOff>409564</xdr:colOff>
      <xdr:row>2</xdr:row>
      <xdr:rowOff>362093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42" y="65314"/>
          <a:ext cx="1634208" cy="6668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582386</xdr:colOff>
      <xdr:row>1</xdr:row>
      <xdr:rowOff>102977</xdr:rowOff>
    </xdr:from>
    <xdr:to>
      <xdr:col>10</xdr:col>
      <xdr:colOff>227046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039 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97971</xdr:colOff>
      <xdr:row>0</xdr:row>
      <xdr:rowOff>38100</xdr:rowOff>
    </xdr:from>
    <xdr:to>
      <xdr:col>3</xdr:col>
      <xdr:colOff>349693</xdr:colOff>
      <xdr:row>2</xdr:row>
      <xdr:rowOff>334879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71" y="38100"/>
          <a:ext cx="1634208" cy="66689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544286</xdr:colOff>
      <xdr:row>1</xdr:row>
      <xdr:rowOff>102977</xdr:rowOff>
    </xdr:from>
    <xdr:to>
      <xdr:col>10</xdr:col>
      <xdr:colOff>179421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040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65315</xdr:rowOff>
    </xdr:from>
    <xdr:to>
      <xdr:col>3</xdr:col>
      <xdr:colOff>366022</xdr:colOff>
      <xdr:row>2</xdr:row>
      <xdr:rowOff>362094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5315"/>
          <a:ext cx="1634208" cy="6668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582386</xdr:colOff>
      <xdr:row>1</xdr:row>
      <xdr:rowOff>102977</xdr:rowOff>
    </xdr:from>
    <xdr:to>
      <xdr:col>10</xdr:col>
      <xdr:colOff>198471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041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108857</xdr:colOff>
      <xdr:row>0</xdr:row>
      <xdr:rowOff>87086</xdr:rowOff>
    </xdr:from>
    <xdr:to>
      <xdr:col>3</xdr:col>
      <xdr:colOff>360579</xdr:colOff>
      <xdr:row>2</xdr:row>
      <xdr:rowOff>383865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87086"/>
          <a:ext cx="1634208" cy="66689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639536</xdr:colOff>
      <xdr:row>1</xdr:row>
      <xdr:rowOff>102977</xdr:rowOff>
    </xdr:from>
    <xdr:to>
      <xdr:col>10</xdr:col>
      <xdr:colOff>331821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042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141514</xdr:colOff>
      <xdr:row>0</xdr:row>
      <xdr:rowOff>65314</xdr:rowOff>
    </xdr:from>
    <xdr:to>
      <xdr:col>3</xdr:col>
      <xdr:colOff>393236</xdr:colOff>
      <xdr:row>2</xdr:row>
      <xdr:rowOff>362093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14" y="65314"/>
          <a:ext cx="1634208" cy="66689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591911</xdr:colOff>
      <xdr:row>1</xdr:row>
      <xdr:rowOff>102977</xdr:rowOff>
    </xdr:from>
    <xdr:to>
      <xdr:col>10</xdr:col>
      <xdr:colOff>227046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043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92528</xdr:colOff>
      <xdr:row>0</xdr:row>
      <xdr:rowOff>81643</xdr:rowOff>
    </xdr:from>
    <xdr:to>
      <xdr:col>3</xdr:col>
      <xdr:colOff>344250</xdr:colOff>
      <xdr:row>2</xdr:row>
      <xdr:rowOff>378422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8" y="81643"/>
          <a:ext cx="1634208" cy="66689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515711</xdr:colOff>
      <xdr:row>1</xdr:row>
      <xdr:rowOff>102977</xdr:rowOff>
    </xdr:from>
    <xdr:to>
      <xdr:col>10</xdr:col>
      <xdr:colOff>207996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044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136072</xdr:colOff>
      <xdr:row>0</xdr:row>
      <xdr:rowOff>65314</xdr:rowOff>
    </xdr:from>
    <xdr:to>
      <xdr:col>3</xdr:col>
      <xdr:colOff>387794</xdr:colOff>
      <xdr:row>2</xdr:row>
      <xdr:rowOff>362093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2" y="65314"/>
          <a:ext cx="1634208" cy="66689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515711</xdr:colOff>
      <xdr:row>1</xdr:row>
      <xdr:rowOff>102977</xdr:rowOff>
    </xdr:from>
    <xdr:to>
      <xdr:col>10</xdr:col>
      <xdr:colOff>207996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045 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6223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146957</xdr:colOff>
      <xdr:row>0</xdr:row>
      <xdr:rowOff>38100</xdr:rowOff>
    </xdr:from>
    <xdr:to>
      <xdr:col>3</xdr:col>
      <xdr:colOff>398679</xdr:colOff>
      <xdr:row>2</xdr:row>
      <xdr:rowOff>334879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57" y="38100"/>
          <a:ext cx="1634208" cy="66689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34018</xdr:rowOff>
    </xdr:from>
    <xdr:to>
      <xdr:col>1</xdr:col>
      <xdr:colOff>340179</xdr:colOff>
      <xdr:row>4</xdr:row>
      <xdr:rowOff>143600</xdr:rowOff>
    </xdr:to>
    <xdr:sp macro="" textlink="">
      <xdr:nvSpPr>
        <xdr:cNvPr id="2" name="Cuadro de texto 7"/>
        <xdr:cNvSpPr txBox="1"/>
      </xdr:nvSpPr>
      <xdr:spPr>
        <a:xfrm>
          <a:off x="1" y="957943"/>
          <a:ext cx="1016453" cy="109582"/>
        </a:xfrm>
        <a:prstGeom prst="rect">
          <a:avLst/>
        </a:prstGeom>
        <a:solidFill>
          <a:prstClr val="white"/>
        </a:solidFill>
        <a:ln>
          <a:noFill/>
        </a:ln>
        <a:effectLst/>
      </xdr:spPr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 algn="ctr">
            <a:spcAft>
              <a:spcPts val="1000"/>
            </a:spcAft>
          </a:pPr>
          <a:r>
            <a:rPr lang="es-BO" sz="700" i="1">
              <a:solidFill>
                <a:srgbClr val="44546A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ORURO-BOLIVIA</a:t>
          </a:r>
        </a:p>
      </xdr:txBody>
    </xdr:sp>
    <xdr:clientData/>
  </xdr:twoCellAnchor>
  <xdr:twoCellAnchor editAs="absolute">
    <xdr:from>
      <xdr:col>20</xdr:col>
      <xdr:colOff>86172</xdr:colOff>
      <xdr:row>1</xdr:row>
      <xdr:rowOff>21553</xdr:rowOff>
    </xdr:from>
    <xdr:to>
      <xdr:col>21</xdr:col>
      <xdr:colOff>425171</xdr:colOff>
      <xdr:row>2</xdr:row>
      <xdr:rowOff>242669</xdr:rowOff>
    </xdr:to>
    <xdr:grpSp>
      <xdr:nvGrpSpPr>
        <xdr:cNvPr id="4" name="Grupo 3"/>
        <xdr:cNvGrpSpPr/>
      </xdr:nvGrpSpPr>
      <xdr:grpSpPr>
        <a:xfrm>
          <a:off x="12084719" y="220913"/>
          <a:ext cx="848475" cy="413093"/>
          <a:chOff x="77940" y="-30259"/>
          <a:chExt cx="1080015" cy="474059"/>
        </a:xfrm>
      </xdr:grpSpPr>
      <xdr:sp macro="" textlink="">
        <xdr:nvSpPr>
          <xdr:cNvPr id="5" name="Rectángulo redondeado 4"/>
          <xdr:cNvSpPr/>
        </xdr:nvSpPr>
        <xdr:spPr>
          <a:xfrm>
            <a:off x="77940" y="-30259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 fLocksText="0">
        <xdr:nvSpPr>
          <xdr:cNvPr id="6" name="Rectángulo redondeado 5"/>
          <xdr:cNvSpPr/>
        </xdr:nvSpPr>
        <xdr:spPr>
          <a:xfrm>
            <a:off x="161669" y="129901"/>
            <a:ext cx="996286" cy="313899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9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FOLIO  046</a:t>
            </a:r>
            <a:endParaRPr lang="es-BO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0</xdr:col>
      <xdr:colOff>99786</xdr:colOff>
      <xdr:row>0</xdr:row>
      <xdr:rowOff>81642</xdr:rowOff>
    </xdr:from>
    <xdr:to>
      <xdr:col>3</xdr:col>
      <xdr:colOff>197756</xdr:colOff>
      <xdr:row>3</xdr:row>
      <xdr:rowOff>244927</xdr:rowOff>
    </xdr:to>
    <xdr:pic>
      <xdr:nvPicPr>
        <xdr:cNvPr id="7" name="Imagen 6" descr="C:\Users\DELL\Downloads\WhatsApp Image 2021-12-14 at 16.09.44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6" y="81642"/>
          <a:ext cx="1540327" cy="8073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610961</xdr:colOff>
      <xdr:row>1</xdr:row>
      <xdr:rowOff>102977</xdr:rowOff>
    </xdr:from>
    <xdr:to>
      <xdr:col>10</xdr:col>
      <xdr:colOff>188946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047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7669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125186</xdr:colOff>
      <xdr:row>0</xdr:row>
      <xdr:rowOff>114300</xdr:rowOff>
    </xdr:from>
    <xdr:to>
      <xdr:col>3</xdr:col>
      <xdr:colOff>376908</xdr:colOff>
      <xdr:row>3</xdr:row>
      <xdr:rowOff>24636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86" y="114300"/>
          <a:ext cx="1634208" cy="66689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582386</xdr:colOff>
      <xdr:row>1</xdr:row>
      <xdr:rowOff>102977</xdr:rowOff>
    </xdr:from>
    <xdr:to>
      <xdr:col>10</xdr:col>
      <xdr:colOff>227046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048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33660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65314</xdr:colOff>
      <xdr:row>0</xdr:row>
      <xdr:rowOff>70757</xdr:rowOff>
    </xdr:from>
    <xdr:to>
      <xdr:col>3</xdr:col>
      <xdr:colOff>317036</xdr:colOff>
      <xdr:row>2</xdr:row>
      <xdr:rowOff>367536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4" y="70757"/>
          <a:ext cx="1634208" cy="66689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544286</xdr:colOff>
      <xdr:row>1</xdr:row>
      <xdr:rowOff>102977</xdr:rowOff>
    </xdr:from>
    <xdr:to>
      <xdr:col>10</xdr:col>
      <xdr:colOff>179421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049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71760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97971</xdr:colOff>
      <xdr:row>0</xdr:row>
      <xdr:rowOff>48986</xdr:rowOff>
    </xdr:from>
    <xdr:to>
      <xdr:col>3</xdr:col>
      <xdr:colOff>349693</xdr:colOff>
      <xdr:row>2</xdr:row>
      <xdr:rowOff>345765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71" y="48986"/>
          <a:ext cx="1634208" cy="66689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582386</xdr:colOff>
      <xdr:row>1</xdr:row>
      <xdr:rowOff>102977</xdr:rowOff>
    </xdr:from>
    <xdr:to>
      <xdr:col>10</xdr:col>
      <xdr:colOff>198471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050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431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130628</xdr:colOff>
      <xdr:row>0</xdr:row>
      <xdr:rowOff>59872</xdr:rowOff>
    </xdr:from>
    <xdr:to>
      <xdr:col>3</xdr:col>
      <xdr:colOff>382350</xdr:colOff>
      <xdr:row>2</xdr:row>
      <xdr:rowOff>356651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28" y="59872"/>
          <a:ext cx="1634208" cy="66689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639536</xdr:colOff>
      <xdr:row>1</xdr:row>
      <xdr:rowOff>102977</xdr:rowOff>
    </xdr:from>
    <xdr:to>
      <xdr:col>10</xdr:col>
      <xdr:colOff>331821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051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0508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59871</xdr:colOff>
      <xdr:row>0</xdr:row>
      <xdr:rowOff>70757</xdr:rowOff>
    </xdr:from>
    <xdr:to>
      <xdr:col>3</xdr:col>
      <xdr:colOff>311593</xdr:colOff>
      <xdr:row>2</xdr:row>
      <xdr:rowOff>367536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71" y="70757"/>
          <a:ext cx="1634208" cy="66689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591911</xdr:colOff>
      <xdr:row>1</xdr:row>
      <xdr:rowOff>102977</xdr:rowOff>
    </xdr:from>
    <xdr:to>
      <xdr:col>10</xdr:col>
      <xdr:colOff>227046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052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33660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70757</xdr:colOff>
      <xdr:row>0</xdr:row>
      <xdr:rowOff>70757</xdr:rowOff>
    </xdr:from>
    <xdr:to>
      <xdr:col>3</xdr:col>
      <xdr:colOff>322479</xdr:colOff>
      <xdr:row>2</xdr:row>
      <xdr:rowOff>367536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" y="70757"/>
          <a:ext cx="1634208" cy="66689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515711</xdr:colOff>
      <xdr:row>1</xdr:row>
      <xdr:rowOff>102977</xdr:rowOff>
    </xdr:from>
    <xdr:to>
      <xdr:col>10</xdr:col>
      <xdr:colOff>207996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053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6223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125186</xdr:colOff>
      <xdr:row>0</xdr:row>
      <xdr:rowOff>48986</xdr:rowOff>
    </xdr:from>
    <xdr:to>
      <xdr:col>3</xdr:col>
      <xdr:colOff>376908</xdr:colOff>
      <xdr:row>2</xdr:row>
      <xdr:rowOff>345765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86" y="48986"/>
          <a:ext cx="1634208" cy="66689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515711</xdr:colOff>
      <xdr:row>1</xdr:row>
      <xdr:rowOff>102977</xdr:rowOff>
    </xdr:from>
    <xdr:to>
      <xdr:col>10</xdr:col>
      <xdr:colOff>207996</xdr:colOff>
      <xdr:row>2</xdr:row>
      <xdr:rowOff>273892</xdr:rowOff>
    </xdr:to>
    <xdr:sp macro="" textlink="" fLocksText="0">
      <xdr:nvSpPr>
        <xdr:cNvPr id="2" name="Rectángulo redondeado 1"/>
        <xdr:cNvSpPr/>
      </xdr:nvSpPr>
      <xdr:spPr>
        <a:xfrm>
          <a:off x="6011636" y="293477"/>
          <a:ext cx="787660" cy="36141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10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FOLIO  054 </a:t>
          </a:r>
          <a:endParaRPr lang="es-BO" sz="1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233265</xdr:colOff>
      <xdr:row>48</xdr:row>
      <xdr:rowOff>97193</xdr:rowOff>
    </xdr:from>
    <xdr:to>
      <xdr:col>3</xdr:col>
      <xdr:colOff>762000</xdr:colOff>
      <xdr:row>53</xdr:row>
      <xdr:rowOff>161925</xdr:rowOff>
    </xdr:to>
    <xdr:sp macro="" textlink="">
      <xdr:nvSpPr>
        <xdr:cNvPr id="4" name="Cuadro de texto 2"/>
        <xdr:cNvSpPr txBox="1">
          <a:spLocks noChangeArrowheads="1"/>
        </xdr:cNvSpPr>
      </xdr:nvSpPr>
      <xdr:spPr bwMode="auto">
        <a:xfrm>
          <a:off x="699990" y="9250718"/>
          <a:ext cx="1366935" cy="101723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PONDERACIONES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Práctica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70 %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Evaluación Teórica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30%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Calificación Final       100%</a:t>
          </a:r>
        </a:p>
      </xdr:txBody>
    </xdr:sp>
    <xdr:clientData/>
  </xdr:twoCellAnchor>
  <xdr:twoCellAnchor>
    <xdr:from>
      <xdr:col>1</xdr:col>
      <xdr:colOff>293077</xdr:colOff>
      <xdr:row>52</xdr:row>
      <xdr:rowOff>24179</xdr:rowOff>
    </xdr:from>
    <xdr:to>
      <xdr:col>3</xdr:col>
      <xdr:colOff>652096</xdr:colOff>
      <xdr:row>52</xdr:row>
      <xdr:rowOff>24179</xdr:rowOff>
    </xdr:to>
    <xdr:cxnSp macro="">
      <xdr:nvCxnSpPr>
        <xdr:cNvPr id="5" name="4 Conector recto"/>
        <xdr:cNvCxnSpPr/>
      </xdr:nvCxnSpPr>
      <xdr:spPr>
        <a:xfrm>
          <a:off x="759802" y="9939704"/>
          <a:ext cx="119721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879231</xdr:colOff>
      <xdr:row>48</xdr:row>
      <xdr:rowOff>102576</xdr:rowOff>
    </xdr:from>
    <xdr:to>
      <xdr:col>5</xdr:col>
      <xdr:colOff>360216</xdr:colOff>
      <xdr:row>54</xdr:row>
      <xdr:rowOff>161192</xdr:rowOff>
    </xdr:to>
    <xdr:sp macro="" textlink="">
      <xdr:nvSpPr>
        <xdr:cNvPr id="6" name="Cuadro de texto 2"/>
        <xdr:cNvSpPr txBox="1">
          <a:spLocks noChangeArrowheads="1"/>
        </xdr:cNvSpPr>
      </xdr:nvSpPr>
      <xdr:spPr bwMode="auto">
        <a:xfrm>
          <a:off x="2184156" y="9256101"/>
          <a:ext cx="1862235" cy="120161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C00000"/>
          </a:solidFill>
          <a:headEnd/>
          <a:tailEnd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ESCALA</a:t>
          </a:r>
          <a:r>
            <a:rPr lang="es-ES" sz="800" b="1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DE VALORACIÓN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Aprobado 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61 a 100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Reprobado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  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Prueba de Recup.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	40 a 60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ES" sz="8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Aprob. Prueb. Recup.	</a:t>
          </a:r>
          <a:r>
            <a:rPr lang="es-ES" sz="800" baseline="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   6</a:t>
          </a:r>
          <a:r>
            <a:rPr lang="es-ES" sz="8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BO" sz="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es-ES" sz="8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136072</xdr:colOff>
      <xdr:row>0</xdr:row>
      <xdr:rowOff>65315</xdr:rowOff>
    </xdr:from>
    <xdr:to>
      <xdr:col>3</xdr:col>
      <xdr:colOff>387794</xdr:colOff>
      <xdr:row>2</xdr:row>
      <xdr:rowOff>362094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2" y="65315"/>
          <a:ext cx="1634208" cy="6668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DUCA%202020/Formatos%20Centralizadores%20%20de%20Notas%20y%20Estadisticas%20%202020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Formatos%20Centralizadores%20%20de%20Notas%20y%20Estadisticas%20%202020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os%20Centralizadores%20%20de%20Notas%20y%20Estadisticas%20%20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in Docente RM 100"/>
      <sheetName val="Centralizador Calificaciones"/>
      <sheetName val="Hist Acad RM 100"/>
      <sheetName val="Det-Resultado exa-grado"/>
      <sheetName val="Lista"/>
      <sheetName val="Hoja1"/>
      <sheetName val="LISTA 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in Docente RM 100"/>
      <sheetName val="Centralizador Calificaciones"/>
      <sheetName val="Hist Acad RM 100"/>
      <sheetName val="Det-Resultado exa-grado"/>
      <sheetName val="Lista"/>
      <sheetName val="Hoja1"/>
      <sheetName val="LISTA 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zoomScaleNormal="100" zoomScaleSheetLayoutView="100" workbookViewId="0">
      <selection activeCell="L7" activeCellId="1" sqref="G7:N13 L7"/>
    </sheetView>
  </sheetViews>
  <sheetFormatPr baseColWidth="10" defaultRowHeight="14.5" x14ac:dyDescent="0.35"/>
  <cols>
    <col min="1" max="1" width="10.26953125" customWidth="1"/>
    <col min="2" max="2" width="5" customWidth="1"/>
    <col min="3" max="3" width="5.1796875" customWidth="1"/>
    <col min="4" max="4" width="8.1796875" customWidth="1"/>
    <col min="5" max="5" width="25.1796875" customWidth="1"/>
    <col min="6" max="6" width="10.81640625" customWidth="1"/>
    <col min="7" max="7" width="7.7265625" customWidth="1"/>
    <col min="8" max="8" width="7.26953125" customWidth="1"/>
    <col min="9" max="9" width="7.1796875" customWidth="1"/>
    <col min="10" max="10" width="7.26953125" customWidth="1"/>
    <col min="11" max="12" width="8.7265625" customWidth="1"/>
    <col min="13" max="13" width="9" customWidth="1"/>
    <col min="14" max="14" width="8.81640625" customWidth="1"/>
    <col min="15" max="15" width="6.7265625" customWidth="1"/>
    <col min="16" max="16" width="7.1796875" customWidth="1"/>
    <col min="17" max="17" width="7" customWidth="1"/>
    <col min="18" max="19" width="7.26953125" customWidth="1"/>
    <col min="20" max="20" width="7" customWidth="1"/>
    <col min="21" max="21" width="7.26953125" customWidth="1"/>
    <col min="22" max="22" width="9.81640625" customWidth="1"/>
    <col min="29" max="29" width="11.36328125" customWidth="1"/>
    <col min="39" max="39" width="11.36328125" customWidth="1"/>
  </cols>
  <sheetData>
    <row r="1" spans="1:23" ht="15.75" customHeight="1" x14ac:dyDescent="0.35">
      <c r="A1" s="115"/>
      <c r="B1" s="116"/>
      <c r="C1" s="2"/>
      <c r="D1" s="2"/>
      <c r="E1" s="2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21"/>
      <c r="T1" s="121"/>
      <c r="U1" s="121"/>
      <c r="V1" s="53"/>
    </row>
    <row r="2" spans="1:23" ht="15" customHeight="1" x14ac:dyDescent="0.35">
      <c r="A2" s="117"/>
      <c r="B2" s="118"/>
      <c r="C2" s="2"/>
      <c r="D2" s="2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22"/>
      <c r="V2" s="122"/>
      <c r="W2" s="1"/>
    </row>
    <row r="3" spans="1:23" ht="20.25" customHeight="1" x14ac:dyDescent="0.35">
      <c r="A3" s="117"/>
      <c r="B3" s="118"/>
      <c r="C3" s="2"/>
      <c r="D3" s="2"/>
      <c r="E3" s="2"/>
      <c r="F3" s="123" t="s">
        <v>2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2"/>
      <c r="V3" s="122"/>
      <c r="W3" s="1"/>
    </row>
    <row r="4" spans="1:23" ht="21.75" customHeight="1" x14ac:dyDescent="0.35">
      <c r="A4" s="119"/>
      <c r="B4" s="120"/>
      <c r="C4" s="18"/>
      <c r="D4" s="19"/>
      <c r="E4" s="19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6"/>
      <c r="V4" s="12"/>
      <c r="W4" s="1"/>
    </row>
    <row r="5" spans="1:23" ht="16.5" customHeight="1" x14ac:dyDescent="0.35">
      <c r="B5" s="4"/>
      <c r="C5" s="4"/>
      <c r="D5" s="4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24" t="s">
        <v>7</v>
      </c>
      <c r="T5" s="124"/>
      <c r="U5" s="10" t="s">
        <v>57</v>
      </c>
      <c r="V5" s="13"/>
    </row>
    <row r="6" spans="1:23" ht="16.5" customHeight="1" x14ac:dyDescent="0.35">
      <c r="B6" s="4"/>
      <c r="C6" s="112" t="s">
        <v>74</v>
      </c>
      <c r="D6" s="112"/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9"/>
      <c r="Q6" s="9" t="s">
        <v>68</v>
      </c>
      <c r="R6" s="15" t="s">
        <v>109</v>
      </c>
      <c r="S6" s="114" t="s">
        <v>4</v>
      </c>
      <c r="T6" s="114"/>
      <c r="U6" s="16" t="s">
        <v>66</v>
      </c>
      <c r="V6" s="17"/>
    </row>
    <row r="7" spans="1:23" ht="17.149999999999999" customHeight="1" x14ac:dyDescent="0.35">
      <c r="B7" s="4"/>
      <c r="C7" s="108" t="s">
        <v>52</v>
      </c>
      <c r="D7" s="108"/>
      <c r="E7" s="109">
        <v>2020</v>
      </c>
      <c r="F7" s="110" t="s">
        <v>8</v>
      </c>
      <c r="G7" s="38" t="s">
        <v>112</v>
      </c>
      <c r="H7" s="38" t="s">
        <v>113</v>
      </c>
      <c r="I7" s="38" t="s">
        <v>114</v>
      </c>
      <c r="J7" s="38" t="s">
        <v>115</v>
      </c>
      <c r="K7" s="38" t="s">
        <v>116</v>
      </c>
      <c r="L7" s="38" t="s">
        <v>117</v>
      </c>
      <c r="M7" s="38" t="s">
        <v>118</v>
      </c>
      <c r="N7" s="38" t="s">
        <v>119</v>
      </c>
      <c r="O7" s="38"/>
      <c r="P7" s="38"/>
      <c r="Q7" s="38"/>
      <c r="R7" s="38"/>
      <c r="S7" s="38"/>
      <c r="T7" s="38"/>
      <c r="U7" s="38"/>
      <c r="V7" s="111" t="s">
        <v>3</v>
      </c>
    </row>
    <row r="8" spans="1:23" ht="17.149999999999999" customHeight="1" x14ac:dyDescent="0.35">
      <c r="B8" s="4"/>
      <c r="C8" s="108"/>
      <c r="D8" s="108"/>
      <c r="E8" s="109"/>
      <c r="F8" s="110"/>
      <c r="G8" s="105" t="s">
        <v>120</v>
      </c>
      <c r="H8" s="105" t="s">
        <v>121</v>
      </c>
      <c r="I8" s="105" t="s">
        <v>122</v>
      </c>
      <c r="J8" s="105" t="s">
        <v>123</v>
      </c>
      <c r="K8" s="105" t="s">
        <v>124</v>
      </c>
      <c r="L8" s="105" t="s">
        <v>125</v>
      </c>
      <c r="M8" s="105" t="s">
        <v>126</v>
      </c>
      <c r="N8" s="105" t="s">
        <v>127</v>
      </c>
      <c r="O8" s="105"/>
      <c r="P8" s="105"/>
      <c r="Q8" s="105"/>
      <c r="R8" s="105"/>
      <c r="S8" s="105"/>
      <c r="T8" s="105"/>
      <c r="U8" s="105"/>
      <c r="V8" s="111"/>
    </row>
    <row r="9" spans="1:23" ht="17.149999999999999" customHeight="1" x14ac:dyDescent="0.35">
      <c r="B9" s="4"/>
      <c r="C9" s="106" t="s">
        <v>49</v>
      </c>
      <c r="D9" s="106"/>
      <c r="E9" s="39" t="s">
        <v>47</v>
      </c>
      <c r="F9" s="110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11"/>
    </row>
    <row r="10" spans="1:23" ht="17.149999999999999" customHeight="1" x14ac:dyDescent="0.35">
      <c r="B10" s="4"/>
      <c r="C10" s="106" t="s">
        <v>0</v>
      </c>
      <c r="D10" s="106"/>
      <c r="E10" s="39" t="s">
        <v>102</v>
      </c>
      <c r="F10" s="110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11"/>
    </row>
    <row r="11" spans="1:23" ht="15" customHeight="1" x14ac:dyDescent="0.35">
      <c r="B11" s="4"/>
      <c r="C11" s="106" t="s">
        <v>50</v>
      </c>
      <c r="D11" s="106"/>
      <c r="E11" s="39" t="s">
        <v>54</v>
      </c>
      <c r="F11" s="110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11"/>
    </row>
    <row r="12" spans="1:23" ht="17.149999999999999" customHeight="1" x14ac:dyDescent="0.35">
      <c r="B12" s="4"/>
      <c r="C12" s="106" t="s">
        <v>51</v>
      </c>
      <c r="D12" s="106"/>
      <c r="E12" s="39" t="s">
        <v>111</v>
      </c>
      <c r="F12" s="110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11"/>
    </row>
    <row r="13" spans="1:23" ht="18" customHeight="1" x14ac:dyDescent="0.35">
      <c r="B13" s="4"/>
      <c r="C13" s="52" t="s">
        <v>1</v>
      </c>
      <c r="D13" s="107" t="s">
        <v>5</v>
      </c>
      <c r="E13" s="107"/>
      <c r="F13" s="110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11"/>
    </row>
    <row r="14" spans="1:23" x14ac:dyDescent="0.35">
      <c r="B14" s="4"/>
      <c r="C14" s="59">
        <v>1</v>
      </c>
      <c r="D14" s="104">
        <f>+'COA-301'!D13:E13</f>
        <v>0</v>
      </c>
      <c r="E14" s="104"/>
      <c r="F14" s="56"/>
      <c r="G14" s="48">
        <f>+'COA-301'!H13</f>
        <v>0</v>
      </c>
      <c r="H14" s="48">
        <f>+'COC-302'!H13</f>
        <v>0</v>
      </c>
      <c r="I14" s="48">
        <f>+'COG-303'!H13</f>
        <v>0</v>
      </c>
      <c r="J14" s="48">
        <f>+'CEP.304'!H13</f>
        <v>0</v>
      </c>
      <c r="K14" s="48">
        <f>+'CSH-305'!H13</f>
        <v>0</v>
      </c>
      <c r="L14" s="48">
        <f>+'GCI-306'!H13</f>
        <v>0</v>
      </c>
      <c r="M14" s="48">
        <f>+'AEF-307'!H13</f>
        <v>0</v>
      </c>
      <c r="N14" s="48"/>
      <c r="O14" s="42"/>
      <c r="P14" s="42"/>
      <c r="Q14" s="42"/>
      <c r="R14" s="42"/>
      <c r="S14" s="42"/>
      <c r="T14" s="42"/>
      <c r="U14" s="42"/>
      <c r="V14" s="42" t="str">
        <f>IF(M14=0,"Abandono",IF(AVERAGE(G14:M14)&gt;=61,"Aprobado","Reprobado"))</f>
        <v>Abandono</v>
      </c>
    </row>
    <row r="15" spans="1:23" ht="14.25" customHeight="1" x14ac:dyDescent="0.35">
      <c r="B15" s="4"/>
      <c r="C15" s="59">
        <v>2</v>
      </c>
      <c r="D15" s="104">
        <f>+'COA-301'!D14:E14</f>
        <v>0</v>
      </c>
      <c r="E15" s="104"/>
      <c r="F15" s="56"/>
      <c r="G15" s="48">
        <f>+'COA-301'!H14</f>
        <v>0</v>
      </c>
      <c r="H15" s="48">
        <f>+'COC-302'!H14</f>
        <v>0</v>
      </c>
      <c r="I15" s="48">
        <f>+'COG-303'!H14</f>
        <v>0</v>
      </c>
      <c r="J15" s="48">
        <f>+'CEP.304'!H14</f>
        <v>0</v>
      </c>
      <c r="K15" s="48">
        <f>+'CSH-305'!H14</f>
        <v>0</v>
      </c>
      <c r="L15" s="48">
        <f>+'GCI-306'!H14</f>
        <v>0</v>
      </c>
      <c r="M15" s="48">
        <f>+'AEF-307'!H14</f>
        <v>0</v>
      </c>
      <c r="N15" s="48"/>
      <c r="O15" s="42"/>
      <c r="P15" s="42"/>
      <c r="Q15" s="42"/>
      <c r="R15" s="42"/>
      <c r="S15" s="42"/>
      <c r="T15" s="42"/>
      <c r="U15" s="42"/>
      <c r="V15" s="42" t="str">
        <f t="shared" ref="V15:V37" si="0">IF(M15=0,"Abandono",IF(AVERAGE(G15:M15)&gt;=61,"Aprobado","Reprobado"))</f>
        <v>Abandono</v>
      </c>
    </row>
    <row r="16" spans="1:23" ht="14.25" customHeight="1" x14ac:dyDescent="0.35">
      <c r="B16" s="4"/>
      <c r="C16" s="59">
        <v>3</v>
      </c>
      <c r="D16" s="104">
        <f>+'COA-301'!D15:E15</f>
        <v>0</v>
      </c>
      <c r="E16" s="104"/>
      <c r="F16" s="56"/>
      <c r="G16" s="48">
        <f>+'COA-301'!H15</f>
        <v>0</v>
      </c>
      <c r="H16" s="48">
        <f>+'COC-302'!H15</f>
        <v>0</v>
      </c>
      <c r="I16" s="48">
        <f>+'COG-303'!H15</f>
        <v>0</v>
      </c>
      <c r="J16" s="48">
        <f>+'CEP.304'!H15</f>
        <v>0</v>
      </c>
      <c r="K16" s="48">
        <f>+'CSH-305'!H15</f>
        <v>0</v>
      </c>
      <c r="L16" s="48">
        <f>+'GCI-306'!H15</f>
        <v>0</v>
      </c>
      <c r="M16" s="48">
        <f>+'AEF-307'!H15</f>
        <v>0</v>
      </c>
      <c r="N16" s="48"/>
      <c r="O16" s="42"/>
      <c r="P16" s="42"/>
      <c r="Q16" s="42"/>
      <c r="R16" s="42"/>
      <c r="S16" s="42"/>
      <c r="T16" s="42"/>
      <c r="U16" s="42"/>
      <c r="V16" s="42" t="str">
        <f t="shared" si="0"/>
        <v>Abandono</v>
      </c>
    </row>
    <row r="17" spans="2:22" ht="12" customHeight="1" x14ac:dyDescent="0.35">
      <c r="B17" s="4"/>
      <c r="C17" s="59">
        <v>4</v>
      </c>
      <c r="D17" s="104">
        <f>+'COA-301'!D16:E16</f>
        <v>0</v>
      </c>
      <c r="E17" s="104"/>
      <c r="F17" s="56"/>
      <c r="G17" s="48">
        <f>+'COA-301'!H16</f>
        <v>0</v>
      </c>
      <c r="H17" s="48">
        <f>+'COC-302'!H16</f>
        <v>0</v>
      </c>
      <c r="I17" s="48">
        <f>+'COG-303'!H16</f>
        <v>0</v>
      </c>
      <c r="J17" s="48">
        <f>+'CEP.304'!H16</f>
        <v>0</v>
      </c>
      <c r="K17" s="48">
        <f>+'CSH-305'!H16</f>
        <v>0</v>
      </c>
      <c r="L17" s="48">
        <f>+'GCI-306'!H16</f>
        <v>0</v>
      </c>
      <c r="M17" s="48">
        <f>+'AEF-307'!H16</f>
        <v>0</v>
      </c>
      <c r="N17" s="48"/>
      <c r="O17" s="42"/>
      <c r="P17" s="42"/>
      <c r="Q17" s="42"/>
      <c r="R17" s="42"/>
      <c r="S17" s="42"/>
      <c r="T17" s="42"/>
      <c r="U17" s="42"/>
      <c r="V17" s="42" t="str">
        <f t="shared" si="0"/>
        <v>Abandono</v>
      </c>
    </row>
    <row r="18" spans="2:22" ht="12.75" customHeight="1" x14ac:dyDescent="0.35">
      <c r="B18" s="4"/>
      <c r="C18" s="59">
        <v>5</v>
      </c>
      <c r="D18" s="104">
        <f>+'COA-301'!D17:E17</f>
        <v>0</v>
      </c>
      <c r="E18" s="104"/>
      <c r="F18" s="56"/>
      <c r="G18" s="48">
        <f>+'COA-301'!H17</f>
        <v>0</v>
      </c>
      <c r="H18" s="48">
        <f>+'COC-302'!H17</f>
        <v>0</v>
      </c>
      <c r="I18" s="48">
        <f>+'COG-303'!H17</f>
        <v>0</v>
      </c>
      <c r="J18" s="48">
        <f>+'CEP.304'!H17</f>
        <v>0</v>
      </c>
      <c r="K18" s="48">
        <f>+'CSH-305'!H17</f>
        <v>0</v>
      </c>
      <c r="L18" s="48">
        <f>+'GCI-306'!H17</f>
        <v>0</v>
      </c>
      <c r="M18" s="48">
        <f>+'AEF-307'!H17</f>
        <v>0</v>
      </c>
      <c r="N18" s="48"/>
      <c r="O18" s="42"/>
      <c r="P18" s="42"/>
      <c r="Q18" s="42"/>
      <c r="R18" s="42"/>
      <c r="S18" s="42"/>
      <c r="T18" s="42"/>
      <c r="U18" s="42"/>
      <c r="V18" s="42" t="str">
        <f t="shared" si="0"/>
        <v>Abandono</v>
      </c>
    </row>
    <row r="19" spans="2:22" ht="12" customHeight="1" x14ac:dyDescent="0.35">
      <c r="B19" s="4"/>
      <c r="C19" s="59">
        <v>6</v>
      </c>
      <c r="D19" s="104">
        <f>+'COA-301'!D18:E18</f>
        <v>0</v>
      </c>
      <c r="E19" s="104"/>
      <c r="F19" s="57"/>
      <c r="G19" s="48">
        <f>+'COA-301'!H18</f>
        <v>0</v>
      </c>
      <c r="H19" s="48">
        <f>+'COC-302'!H18</f>
        <v>0</v>
      </c>
      <c r="I19" s="48">
        <f>+'COG-303'!H18</f>
        <v>0</v>
      </c>
      <c r="J19" s="48">
        <f>+'CEP.304'!H18</f>
        <v>0</v>
      </c>
      <c r="K19" s="48">
        <f>+'CSH-305'!H18</f>
        <v>0</v>
      </c>
      <c r="L19" s="48">
        <f>+'GCI-306'!H18</f>
        <v>0</v>
      </c>
      <c r="M19" s="48">
        <f>+'AEF-307'!H18</f>
        <v>0</v>
      </c>
      <c r="N19" s="48"/>
      <c r="O19" s="42"/>
      <c r="P19" s="42"/>
      <c r="Q19" s="42"/>
      <c r="R19" s="42"/>
      <c r="S19" s="42"/>
      <c r="T19" s="42"/>
      <c r="U19" s="42"/>
      <c r="V19" s="42" t="str">
        <f t="shared" si="0"/>
        <v>Abandono</v>
      </c>
    </row>
    <row r="20" spans="2:22" ht="14.25" customHeight="1" x14ac:dyDescent="0.35">
      <c r="B20" s="4"/>
      <c r="C20" s="59">
        <v>7</v>
      </c>
      <c r="D20" s="104">
        <f>+'COA-301'!D19:E19</f>
        <v>0</v>
      </c>
      <c r="E20" s="104"/>
      <c r="F20" s="56"/>
      <c r="G20" s="48">
        <f>+'COA-301'!H19</f>
        <v>0</v>
      </c>
      <c r="H20" s="48">
        <f>+'COC-302'!H19</f>
        <v>0</v>
      </c>
      <c r="I20" s="48">
        <f>+'COG-303'!H19</f>
        <v>0</v>
      </c>
      <c r="J20" s="48">
        <f>+'CEP.304'!H19</f>
        <v>0</v>
      </c>
      <c r="K20" s="48">
        <f>+'CSH-305'!H19</f>
        <v>0</v>
      </c>
      <c r="L20" s="48">
        <f>+'GCI-306'!H19</f>
        <v>0</v>
      </c>
      <c r="M20" s="48">
        <f>+'AEF-307'!H19</f>
        <v>0</v>
      </c>
      <c r="N20" s="48"/>
      <c r="O20" s="42"/>
      <c r="P20" s="42"/>
      <c r="Q20" s="42"/>
      <c r="R20" s="42"/>
      <c r="S20" s="42"/>
      <c r="T20" s="42"/>
      <c r="U20" s="42"/>
      <c r="V20" s="42" t="str">
        <f t="shared" si="0"/>
        <v>Abandono</v>
      </c>
    </row>
    <row r="21" spans="2:22" ht="14.25" customHeight="1" x14ac:dyDescent="0.35">
      <c r="B21" s="4"/>
      <c r="C21" s="59">
        <v>8</v>
      </c>
      <c r="D21" s="104">
        <f>+'COA-301'!D20:E20</f>
        <v>0</v>
      </c>
      <c r="E21" s="104"/>
      <c r="F21" s="56"/>
      <c r="G21" s="48">
        <f>+'COA-301'!H20</f>
        <v>0</v>
      </c>
      <c r="H21" s="48">
        <f>+'COC-302'!H20</f>
        <v>0</v>
      </c>
      <c r="I21" s="48">
        <f>+'COG-303'!H20</f>
        <v>0</v>
      </c>
      <c r="J21" s="48">
        <f>+'CEP.304'!H20</f>
        <v>0</v>
      </c>
      <c r="K21" s="48">
        <f>+'CSH-305'!H20</f>
        <v>0</v>
      </c>
      <c r="L21" s="48">
        <f>+'GCI-306'!H20</f>
        <v>0</v>
      </c>
      <c r="M21" s="48">
        <f>+'AEF-307'!H20</f>
        <v>0</v>
      </c>
      <c r="N21" s="48"/>
      <c r="O21" s="42"/>
      <c r="P21" s="42"/>
      <c r="Q21" s="42"/>
      <c r="R21" s="42"/>
      <c r="S21" s="42"/>
      <c r="T21" s="42"/>
      <c r="U21" s="42"/>
      <c r="V21" s="42" t="str">
        <f t="shared" si="0"/>
        <v>Abandono</v>
      </c>
    </row>
    <row r="22" spans="2:22" ht="14.25" customHeight="1" x14ac:dyDescent="0.35">
      <c r="B22" s="4"/>
      <c r="C22" s="59">
        <v>9</v>
      </c>
      <c r="D22" s="104">
        <f>+'COA-301'!D21:E21</f>
        <v>0</v>
      </c>
      <c r="E22" s="104"/>
      <c r="F22" s="56"/>
      <c r="G22" s="48">
        <f>+'COA-301'!H21</f>
        <v>0</v>
      </c>
      <c r="H22" s="48">
        <f>+'COC-302'!H21</f>
        <v>0</v>
      </c>
      <c r="I22" s="48">
        <f>+'COG-303'!H21</f>
        <v>0</v>
      </c>
      <c r="J22" s="48">
        <f>+'CEP.304'!H21</f>
        <v>0</v>
      </c>
      <c r="K22" s="48">
        <f>+'CSH-305'!H21</f>
        <v>0</v>
      </c>
      <c r="L22" s="48">
        <f>+'GCI-306'!H21</f>
        <v>0</v>
      </c>
      <c r="M22" s="48">
        <f>+'AEF-307'!H21</f>
        <v>0</v>
      </c>
      <c r="N22" s="48"/>
      <c r="O22" s="42"/>
      <c r="P22" s="42"/>
      <c r="Q22" s="42"/>
      <c r="R22" s="42"/>
      <c r="S22" s="42"/>
      <c r="T22" s="42"/>
      <c r="U22" s="42"/>
      <c r="V22" s="42" t="str">
        <f t="shared" si="0"/>
        <v>Abandono</v>
      </c>
    </row>
    <row r="23" spans="2:22" ht="14.25" customHeight="1" x14ac:dyDescent="0.35">
      <c r="B23" s="4"/>
      <c r="C23" s="59">
        <v>10</v>
      </c>
      <c r="D23" s="104">
        <f>+'COA-301'!D22:E22</f>
        <v>0</v>
      </c>
      <c r="E23" s="104"/>
      <c r="F23" s="56"/>
      <c r="G23" s="48">
        <f>+'COA-301'!H22</f>
        <v>0</v>
      </c>
      <c r="H23" s="48">
        <f>+'COC-302'!H22</f>
        <v>0</v>
      </c>
      <c r="I23" s="48">
        <f>+'COG-303'!H22</f>
        <v>0</v>
      </c>
      <c r="J23" s="48">
        <f>+'CEP.304'!H22</f>
        <v>0</v>
      </c>
      <c r="K23" s="48">
        <f>+'CSH-305'!H22</f>
        <v>0</v>
      </c>
      <c r="L23" s="48">
        <f>+'GCI-306'!H22</f>
        <v>0</v>
      </c>
      <c r="M23" s="48">
        <f>+'AEF-307'!H22</f>
        <v>0</v>
      </c>
      <c r="N23" s="48"/>
      <c r="O23" s="42"/>
      <c r="P23" s="42"/>
      <c r="Q23" s="42"/>
      <c r="R23" s="42"/>
      <c r="S23" s="42"/>
      <c r="T23" s="42"/>
      <c r="U23" s="42"/>
      <c r="V23" s="42" t="str">
        <f t="shared" si="0"/>
        <v>Abandono</v>
      </c>
    </row>
    <row r="24" spans="2:22" ht="14.25" customHeight="1" x14ac:dyDescent="0.35">
      <c r="B24" s="4"/>
      <c r="C24" s="59">
        <v>11</v>
      </c>
      <c r="D24" s="104">
        <f>+'COA-301'!D23:E23</f>
        <v>0</v>
      </c>
      <c r="E24" s="104"/>
      <c r="F24" s="56"/>
      <c r="G24" s="48">
        <f>+'COA-301'!H23</f>
        <v>0</v>
      </c>
      <c r="H24" s="48">
        <f>+'COC-302'!H23</f>
        <v>0</v>
      </c>
      <c r="I24" s="48">
        <f>+'COG-303'!H23</f>
        <v>0</v>
      </c>
      <c r="J24" s="48">
        <f>+'CEP.304'!H23</f>
        <v>0</v>
      </c>
      <c r="K24" s="48">
        <f>+'CSH-305'!H23</f>
        <v>0</v>
      </c>
      <c r="L24" s="48">
        <f>+'GCI-306'!H23</f>
        <v>0</v>
      </c>
      <c r="M24" s="48">
        <f>+'AEF-307'!H23</f>
        <v>0</v>
      </c>
      <c r="N24" s="48"/>
      <c r="O24" s="42"/>
      <c r="P24" s="42"/>
      <c r="Q24" s="42"/>
      <c r="R24" s="42"/>
      <c r="S24" s="42"/>
      <c r="T24" s="42"/>
      <c r="U24" s="42"/>
      <c r="V24" s="42" t="str">
        <f t="shared" si="0"/>
        <v>Abandono</v>
      </c>
    </row>
    <row r="25" spans="2:22" ht="14.25" customHeight="1" x14ac:dyDescent="0.35">
      <c r="B25" s="4"/>
      <c r="C25" s="59">
        <v>12</v>
      </c>
      <c r="D25" s="104">
        <f>+'COA-301'!D24:E24</f>
        <v>0</v>
      </c>
      <c r="E25" s="104"/>
      <c r="F25" s="56"/>
      <c r="G25" s="48">
        <f>+'COA-301'!H24</f>
        <v>0</v>
      </c>
      <c r="H25" s="48">
        <f>+'COC-302'!H24</f>
        <v>0</v>
      </c>
      <c r="I25" s="48">
        <f>+'COG-303'!H24</f>
        <v>0</v>
      </c>
      <c r="J25" s="48">
        <f>+'CEP.304'!H24</f>
        <v>0</v>
      </c>
      <c r="K25" s="48">
        <f>+'CSH-305'!H24</f>
        <v>0</v>
      </c>
      <c r="L25" s="48">
        <f>+'GCI-306'!H24</f>
        <v>0</v>
      </c>
      <c r="M25" s="48">
        <f>+'AEF-307'!H24</f>
        <v>0</v>
      </c>
      <c r="N25" s="48"/>
      <c r="O25" s="42"/>
      <c r="P25" s="42"/>
      <c r="Q25" s="42"/>
      <c r="R25" s="42"/>
      <c r="S25" s="42"/>
      <c r="T25" s="42"/>
      <c r="U25" s="42"/>
      <c r="V25" s="42" t="str">
        <f t="shared" si="0"/>
        <v>Abandono</v>
      </c>
    </row>
    <row r="26" spans="2:22" ht="14.25" customHeight="1" x14ac:dyDescent="0.35">
      <c r="B26" s="4"/>
      <c r="C26" s="59">
        <v>13</v>
      </c>
      <c r="D26" s="104">
        <f>+'COA-301'!D25:E25</f>
        <v>0</v>
      </c>
      <c r="E26" s="104"/>
      <c r="F26" s="56"/>
      <c r="G26" s="48">
        <f>+'COA-301'!H25</f>
        <v>0</v>
      </c>
      <c r="H26" s="48">
        <f>+'COC-302'!H25</f>
        <v>0</v>
      </c>
      <c r="I26" s="48">
        <f>+'COG-303'!H25</f>
        <v>0</v>
      </c>
      <c r="J26" s="48">
        <f>+'CEP.304'!H25</f>
        <v>0</v>
      </c>
      <c r="K26" s="48">
        <f>+'CSH-305'!H25</f>
        <v>0</v>
      </c>
      <c r="L26" s="48">
        <f>+'GCI-306'!H25</f>
        <v>0</v>
      </c>
      <c r="M26" s="48">
        <f>+'AEF-307'!H25</f>
        <v>0</v>
      </c>
      <c r="N26" s="48"/>
      <c r="O26" s="42"/>
      <c r="P26" s="42"/>
      <c r="Q26" s="42"/>
      <c r="R26" s="42"/>
      <c r="S26" s="42"/>
      <c r="T26" s="42"/>
      <c r="U26" s="42"/>
      <c r="V26" s="42" t="str">
        <f t="shared" si="0"/>
        <v>Abandono</v>
      </c>
    </row>
    <row r="27" spans="2:22" ht="14.25" customHeight="1" x14ac:dyDescent="0.35">
      <c r="B27" s="4"/>
      <c r="C27" s="59">
        <v>14</v>
      </c>
      <c r="D27" s="104">
        <f>+'COA-301'!D26:E26</f>
        <v>0</v>
      </c>
      <c r="E27" s="104"/>
      <c r="F27" s="56"/>
      <c r="G27" s="48">
        <f>+'COA-301'!H26</f>
        <v>0</v>
      </c>
      <c r="H27" s="48">
        <f>+'COC-302'!H26</f>
        <v>0</v>
      </c>
      <c r="I27" s="48">
        <f>+'COG-303'!H26</f>
        <v>0</v>
      </c>
      <c r="J27" s="48">
        <f>+'CEP.304'!H26</f>
        <v>0</v>
      </c>
      <c r="K27" s="48">
        <f>+'CSH-305'!H26</f>
        <v>0</v>
      </c>
      <c r="L27" s="48">
        <f>+'GCI-306'!H26</f>
        <v>0</v>
      </c>
      <c r="M27" s="48">
        <f>+'AEF-307'!H26</f>
        <v>0</v>
      </c>
      <c r="N27" s="48"/>
      <c r="O27" s="42"/>
      <c r="P27" s="42"/>
      <c r="Q27" s="42"/>
      <c r="R27" s="42"/>
      <c r="S27" s="42"/>
      <c r="T27" s="42"/>
      <c r="U27" s="42"/>
      <c r="V27" s="42" t="str">
        <f t="shared" si="0"/>
        <v>Abandono</v>
      </c>
    </row>
    <row r="28" spans="2:22" ht="14.25" customHeight="1" x14ac:dyDescent="0.35">
      <c r="B28" s="4"/>
      <c r="C28" s="59">
        <v>15</v>
      </c>
      <c r="D28" s="104">
        <f>+'COA-301'!D27:E27</f>
        <v>0</v>
      </c>
      <c r="E28" s="104"/>
      <c r="F28" s="56"/>
      <c r="G28" s="48">
        <f>+'COA-301'!H27</f>
        <v>0</v>
      </c>
      <c r="H28" s="48">
        <f>+'COC-302'!H27</f>
        <v>0</v>
      </c>
      <c r="I28" s="48">
        <f>+'COG-303'!H27</f>
        <v>0</v>
      </c>
      <c r="J28" s="48">
        <f>+'CEP.304'!H27</f>
        <v>0</v>
      </c>
      <c r="K28" s="48">
        <f>+'CSH-305'!H27</f>
        <v>0</v>
      </c>
      <c r="L28" s="48">
        <f>+'GCI-306'!H27</f>
        <v>0</v>
      </c>
      <c r="M28" s="48">
        <f>+'AEF-307'!H27</f>
        <v>0</v>
      </c>
      <c r="N28" s="48"/>
      <c r="O28" s="42"/>
      <c r="P28" s="42"/>
      <c r="Q28" s="42"/>
      <c r="R28" s="42"/>
      <c r="S28" s="42"/>
      <c r="T28" s="42"/>
      <c r="U28" s="42"/>
      <c r="V28" s="42" t="str">
        <f t="shared" si="0"/>
        <v>Abandono</v>
      </c>
    </row>
    <row r="29" spans="2:22" ht="14.25" customHeight="1" x14ac:dyDescent="0.35">
      <c r="B29" s="4"/>
      <c r="C29" s="59">
        <v>16</v>
      </c>
      <c r="D29" s="104">
        <f>+'COA-301'!D28:E28</f>
        <v>0</v>
      </c>
      <c r="E29" s="104"/>
      <c r="F29" s="56"/>
      <c r="G29" s="48">
        <f>+'COA-301'!H28</f>
        <v>0</v>
      </c>
      <c r="H29" s="48">
        <f>+'COC-302'!H28</f>
        <v>0</v>
      </c>
      <c r="I29" s="48">
        <f>+'COG-303'!H28</f>
        <v>0</v>
      </c>
      <c r="J29" s="48">
        <f>+'CEP.304'!H28</f>
        <v>0</v>
      </c>
      <c r="K29" s="48">
        <f>+'CSH-305'!H28</f>
        <v>0</v>
      </c>
      <c r="L29" s="48">
        <f>+'GCI-306'!H28</f>
        <v>0</v>
      </c>
      <c r="M29" s="48">
        <f>+'AEF-307'!H28</f>
        <v>0</v>
      </c>
      <c r="N29" s="48"/>
      <c r="O29" s="42"/>
      <c r="P29" s="42"/>
      <c r="Q29" s="42"/>
      <c r="R29" s="42"/>
      <c r="S29" s="42"/>
      <c r="T29" s="42"/>
      <c r="U29" s="42"/>
      <c r="V29" s="42" t="str">
        <f t="shared" si="0"/>
        <v>Abandono</v>
      </c>
    </row>
    <row r="30" spans="2:22" ht="14.25" customHeight="1" x14ac:dyDescent="0.35">
      <c r="B30" s="4"/>
      <c r="C30" s="59">
        <v>17</v>
      </c>
      <c r="D30" s="104">
        <f>+'COA-301'!D29:E29</f>
        <v>0</v>
      </c>
      <c r="E30" s="104"/>
      <c r="F30" s="56"/>
      <c r="G30" s="48">
        <f>+'COA-301'!H29</f>
        <v>0</v>
      </c>
      <c r="H30" s="48">
        <f>+'COC-302'!H29</f>
        <v>0</v>
      </c>
      <c r="I30" s="48">
        <f>+'COG-303'!H29</f>
        <v>0</v>
      </c>
      <c r="J30" s="48">
        <f>+'CEP.304'!H29</f>
        <v>0</v>
      </c>
      <c r="K30" s="48">
        <f>+'CSH-305'!H29</f>
        <v>0</v>
      </c>
      <c r="L30" s="48">
        <f>+'GCI-306'!H29</f>
        <v>0</v>
      </c>
      <c r="M30" s="48">
        <f>+'AEF-307'!H29</f>
        <v>0</v>
      </c>
      <c r="N30" s="48"/>
      <c r="O30" s="42"/>
      <c r="P30" s="42"/>
      <c r="Q30" s="42"/>
      <c r="R30" s="42"/>
      <c r="S30" s="42"/>
      <c r="T30" s="42"/>
      <c r="U30" s="42"/>
      <c r="V30" s="42" t="str">
        <f t="shared" si="0"/>
        <v>Abandono</v>
      </c>
    </row>
    <row r="31" spans="2:22" ht="12.75" customHeight="1" x14ac:dyDescent="0.35">
      <c r="B31" s="4"/>
      <c r="C31" s="59">
        <v>18</v>
      </c>
      <c r="D31" s="104">
        <f>+'COA-301'!D30:E30</f>
        <v>0</v>
      </c>
      <c r="E31" s="104"/>
      <c r="F31" s="56"/>
      <c r="G31" s="48">
        <f>+'COA-301'!H30</f>
        <v>0</v>
      </c>
      <c r="H31" s="48">
        <f>+'COC-302'!H30</f>
        <v>0</v>
      </c>
      <c r="I31" s="48">
        <f>+'COG-303'!H30</f>
        <v>0</v>
      </c>
      <c r="J31" s="48">
        <f>+'CEP.304'!H30</f>
        <v>0</v>
      </c>
      <c r="K31" s="48">
        <f>+'CSH-305'!H30</f>
        <v>0</v>
      </c>
      <c r="L31" s="48">
        <f>+'GCI-306'!H30</f>
        <v>0</v>
      </c>
      <c r="M31" s="48">
        <f>+'AEF-307'!H30</f>
        <v>0</v>
      </c>
      <c r="N31" s="48"/>
      <c r="O31" s="42"/>
      <c r="P31" s="42"/>
      <c r="Q31" s="42"/>
      <c r="R31" s="42"/>
      <c r="S31" s="42"/>
      <c r="T31" s="42"/>
      <c r="U31" s="42"/>
      <c r="V31" s="42" t="str">
        <f t="shared" si="0"/>
        <v>Abandono</v>
      </c>
    </row>
    <row r="32" spans="2:22" ht="14.25" customHeight="1" x14ac:dyDescent="0.35">
      <c r="B32" s="4"/>
      <c r="C32" s="59">
        <v>19</v>
      </c>
      <c r="D32" s="104">
        <f>+'COA-301'!D31:E31</f>
        <v>0</v>
      </c>
      <c r="E32" s="104"/>
      <c r="F32" s="56"/>
      <c r="G32" s="48">
        <f>+'COA-301'!H31</f>
        <v>0</v>
      </c>
      <c r="H32" s="48">
        <f>+'COC-302'!H31</f>
        <v>0</v>
      </c>
      <c r="I32" s="48">
        <f>+'COG-303'!H31</f>
        <v>0</v>
      </c>
      <c r="J32" s="48">
        <f>+'CEP.304'!H31</f>
        <v>0</v>
      </c>
      <c r="K32" s="48">
        <f>+'CSH-305'!H31</f>
        <v>0</v>
      </c>
      <c r="L32" s="48">
        <f>+'GCI-306'!H31</f>
        <v>0</v>
      </c>
      <c r="M32" s="48">
        <f>+'AEF-307'!H31</f>
        <v>0</v>
      </c>
      <c r="N32" s="48"/>
      <c r="O32" s="42"/>
      <c r="P32" s="42"/>
      <c r="Q32" s="42"/>
      <c r="R32" s="42"/>
      <c r="S32" s="42"/>
      <c r="T32" s="42"/>
      <c r="U32" s="42"/>
      <c r="V32" s="42" t="str">
        <f t="shared" si="0"/>
        <v>Abandono</v>
      </c>
    </row>
    <row r="33" spans="2:22" ht="12.75" customHeight="1" x14ac:dyDescent="0.35">
      <c r="B33" s="4"/>
      <c r="C33" s="59">
        <v>20</v>
      </c>
      <c r="D33" s="104">
        <f>+'COA-301'!D32:E32</f>
        <v>0</v>
      </c>
      <c r="E33" s="104"/>
      <c r="F33" s="56"/>
      <c r="G33" s="48">
        <f>+'COA-301'!H32</f>
        <v>0</v>
      </c>
      <c r="H33" s="48">
        <f>+'COC-302'!H32</f>
        <v>0</v>
      </c>
      <c r="I33" s="48">
        <f>+'COG-303'!H32</f>
        <v>0</v>
      </c>
      <c r="J33" s="48">
        <f>+'CEP.304'!H32</f>
        <v>0</v>
      </c>
      <c r="K33" s="48">
        <f>+'CSH-305'!H32</f>
        <v>0</v>
      </c>
      <c r="L33" s="48">
        <f>+'GCI-306'!H32</f>
        <v>0</v>
      </c>
      <c r="M33" s="48">
        <f>+'AEF-307'!H32</f>
        <v>0</v>
      </c>
      <c r="N33" s="48"/>
      <c r="O33" s="42"/>
      <c r="P33" s="42"/>
      <c r="Q33" s="42"/>
      <c r="R33" s="42"/>
      <c r="S33" s="42"/>
      <c r="T33" s="42"/>
      <c r="U33" s="42"/>
      <c r="V33" s="42" t="str">
        <f t="shared" si="0"/>
        <v>Abandono</v>
      </c>
    </row>
    <row r="34" spans="2:22" ht="12.75" customHeight="1" x14ac:dyDescent="0.35">
      <c r="B34" s="4"/>
      <c r="C34" s="59">
        <v>21</v>
      </c>
      <c r="D34" s="104">
        <f>+'COA-301'!D33:E33</f>
        <v>0</v>
      </c>
      <c r="E34" s="104"/>
      <c r="F34" s="56"/>
      <c r="G34" s="48">
        <f>+'COA-301'!H33</f>
        <v>0</v>
      </c>
      <c r="H34" s="48">
        <f>+'COC-302'!H33</f>
        <v>0</v>
      </c>
      <c r="I34" s="48">
        <f>+'COG-303'!H33</f>
        <v>0</v>
      </c>
      <c r="J34" s="48">
        <f>+'CEP.304'!H33</f>
        <v>0</v>
      </c>
      <c r="K34" s="48">
        <f>+'CSH-305'!H33</f>
        <v>0</v>
      </c>
      <c r="L34" s="48">
        <f>+'GCI-306'!H33</f>
        <v>0</v>
      </c>
      <c r="M34" s="48">
        <f>+'AEF-307'!H33</f>
        <v>0</v>
      </c>
      <c r="N34" s="48"/>
      <c r="O34" s="42"/>
      <c r="P34" s="42"/>
      <c r="Q34" s="42"/>
      <c r="R34" s="42"/>
      <c r="S34" s="42"/>
      <c r="T34" s="42"/>
      <c r="U34" s="42"/>
      <c r="V34" s="42" t="str">
        <f t="shared" si="0"/>
        <v>Abandono</v>
      </c>
    </row>
    <row r="35" spans="2:22" ht="12.75" customHeight="1" x14ac:dyDescent="0.35">
      <c r="B35" s="4"/>
      <c r="C35" s="59">
        <v>22</v>
      </c>
      <c r="D35" s="104">
        <f>+'COA-301'!D34:E34</f>
        <v>0</v>
      </c>
      <c r="E35" s="104"/>
      <c r="F35" s="56"/>
      <c r="G35" s="48">
        <f>+'COA-301'!H34</f>
        <v>0</v>
      </c>
      <c r="H35" s="48">
        <f>+'COC-302'!H34</f>
        <v>0</v>
      </c>
      <c r="I35" s="48">
        <f>+'COG-303'!H34</f>
        <v>0</v>
      </c>
      <c r="J35" s="48">
        <f>+'CEP.304'!H34</f>
        <v>0</v>
      </c>
      <c r="K35" s="48">
        <f>+'CSH-305'!H34</f>
        <v>0</v>
      </c>
      <c r="L35" s="48">
        <f>+'GCI-306'!H34</f>
        <v>0</v>
      </c>
      <c r="M35" s="48">
        <f>+'AEF-307'!H34</f>
        <v>0</v>
      </c>
      <c r="N35" s="48"/>
      <c r="O35" s="42"/>
      <c r="P35" s="42"/>
      <c r="Q35" s="42"/>
      <c r="R35" s="42"/>
      <c r="S35" s="42"/>
      <c r="T35" s="42"/>
      <c r="U35" s="42"/>
      <c r="V35" s="42" t="str">
        <f t="shared" si="0"/>
        <v>Abandono</v>
      </c>
    </row>
    <row r="36" spans="2:22" ht="14.25" customHeight="1" x14ac:dyDescent="0.35">
      <c r="B36" s="4"/>
      <c r="C36" s="59">
        <v>23</v>
      </c>
      <c r="D36" s="104">
        <f>+'COA-301'!D35:E35</f>
        <v>0</v>
      </c>
      <c r="E36" s="104"/>
      <c r="F36" s="58"/>
      <c r="G36" s="48">
        <f>+'COA-301'!H35</f>
        <v>0</v>
      </c>
      <c r="H36" s="48">
        <f>+'COC-302'!H35</f>
        <v>0</v>
      </c>
      <c r="I36" s="48">
        <f>+'COG-303'!H35</f>
        <v>0</v>
      </c>
      <c r="J36" s="48">
        <f>+'CEP.304'!H35</f>
        <v>0</v>
      </c>
      <c r="K36" s="48">
        <f>+'CSH-305'!H35</f>
        <v>0</v>
      </c>
      <c r="L36" s="48">
        <f>+'GCI-306'!H35</f>
        <v>0</v>
      </c>
      <c r="M36" s="48">
        <f>+'AEF-307'!H35</f>
        <v>0</v>
      </c>
      <c r="N36" s="48"/>
      <c r="O36" s="42"/>
      <c r="P36" s="42"/>
      <c r="Q36" s="42"/>
      <c r="R36" s="42"/>
      <c r="S36" s="42"/>
      <c r="T36" s="42"/>
      <c r="U36" s="42"/>
      <c r="V36" s="42" t="str">
        <f t="shared" si="0"/>
        <v>Abandono</v>
      </c>
    </row>
    <row r="37" spans="2:22" ht="15" customHeight="1" x14ac:dyDescent="0.35">
      <c r="B37" s="4"/>
      <c r="C37" s="59">
        <v>24</v>
      </c>
      <c r="D37" s="104">
        <f>+'COA-301'!D36:E36</f>
        <v>0</v>
      </c>
      <c r="E37" s="104"/>
      <c r="F37" s="56"/>
      <c r="G37" s="48">
        <f>+'COA-301'!H36</f>
        <v>0</v>
      </c>
      <c r="H37" s="48">
        <f>+'COC-302'!H36</f>
        <v>0</v>
      </c>
      <c r="I37" s="48">
        <f>+'COG-303'!H36</f>
        <v>0</v>
      </c>
      <c r="J37" s="48">
        <f>+'CEP.304'!H36</f>
        <v>0</v>
      </c>
      <c r="K37" s="48">
        <f>+'CSH-305'!H36</f>
        <v>0</v>
      </c>
      <c r="L37" s="48">
        <f>+'GCI-306'!H36</f>
        <v>0</v>
      </c>
      <c r="M37" s="48">
        <f>+'AEF-307'!H36</f>
        <v>0</v>
      </c>
      <c r="N37" s="48"/>
      <c r="O37" s="42"/>
      <c r="P37" s="42"/>
      <c r="Q37" s="42"/>
      <c r="R37" s="42"/>
      <c r="S37" s="42"/>
      <c r="T37" s="42"/>
      <c r="U37" s="42"/>
      <c r="V37" s="42" t="str">
        <f t="shared" si="0"/>
        <v>Abandono</v>
      </c>
    </row>
    <row r="38" spans="2:22" ht="14.25" customHeight="1" x14ac:dyDescent="0.35">
      <c r="B38" s="4"/>
      <c r="C38" s="59"/>
      <c r="D38" s="104"/>
      <c r="E38" s="104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2:22" ht="13.5" customHeight="1" x14ac:dyDescent="0.35">
      <c r="B39" s="4"/>
      <c r="C39" s="43"/>
      <c r="D39" s="104"/>
      <c r="E39" s="104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2:22" ht="12" customHeight="1" x14ac:dyDescent="0.35">
      <c r="B40" s="4"/>
      <c r="C40" s="43"/>
      <c r="D40" s="104"/>
      <c r="E40" s="104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2:22" ht="12" customHeight="1" x14ac:dyDescent="0.35">
      <c r="B41" s="4"/>
      <c r="C41" s="43"/>
      <c r="D41" s="104"/>
      <c r="E41" s="104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2:22" ht="12" customHeight="1" x14ac:dyDescent="0.35">
      <c r="B42" s="4"/>
      <c r="C42" s="43"/>
      <c r="D42" s="104"/>
      <c r="E42" s="10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2:22" ht="12" customHeight="1" x14ac:dyDescent="0.35">
      <c r="B43" s="4"/>
      <c r="C43" s="43"/>
      <c r="D43" s="104"/>
      <c r="E43" s="10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2:22" x14ac:dyDescent="0.35">
      <c r="B44" s="4"/>
      <c r="C44" s="41" t="s">
        <v>14</v>
      </c>
    </row>
    <row r="45" spans="2:22" x14ac:dyDescent="0.35">
      <c r="B45" s="4"/>
      <c r="C45" s="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2:22" x14ac:dyDescent="0.35">
      <c r="B46" s="4"/>
      <c r="C46" s="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2:22" x14ac:dyDescent="0.35">
      <c r="B47" s="4"/>
      <c r="C47" s="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2:22" x14ac:dyDescent="0.35">
      <c r="B48" s="4"/>
      <c r="C48" s="4"/>
      <c r="D48" s="14"/>
      <c r="E48" s="102" t="s">
        <v>91</v>
      </c>
      <c r="F48" s="102"/>
      <c r="G48" s="102"/>
      <c r="H48" s="102" t="s">
        <v>86</v>
      </c>
      <c r="I48" s="102"/>
      <c r="J48" s="14"/>
      <c r="K48" s="102" t="s">
        <v>91</v>
      </c>
      <c r="L48" s="102"/>
      <c r="M48" s="102"/>
      <c r="N48" s="14"/>
      <c r="O48" s="14"/>
      <c r="P48" s="103"/>
      <c r="Q48" s="103"/>
      <c r="R48" s="103"/>
      <c r="S48" s="14"/>
      <c r="T48" s="14"/>
      <c r="U48" s="14"/>
      <c r="V48" s="14"/>
    </row>
    <row r="49" spans="2:22" x14ac:dyDescent="0.35">
      <c r="B49" s="4"/>
      <c r="C49" s="4"/>
      <c r="D49" s="14"/>
      <c r="E49" s="102" t="s">
        <v>87</v>
      </c>
      <c r="F49" s="102"/>
      <c r="G49" s="102"/>
      <c r="H49" s="102" t="s">
        <v>89</v>
      </c>
      <c r="I49" s="102"/>
      <c r="J49" s="14"/>
      <c r="K49" s="102" t="s">
        <v>101</v>
      </c>
      <c r="L49" s="102"/>
      <c r="M49" s="102"/>
      <c r="N49" s="14"/>
      <c r="O49" s="14"/>
      <c r="P49" s="14"/>
      <c r="Q49" s="14"/>
      <c r="R49" s="14"/>
      <c r="S49" s="14"/>
      <c r="T49" s="14"/>
      <c r="U49" s="14"/>
      <c r="V49" s="14"/>
    </row>
    <row r="50" spans="2:22" ht="15.5" x14ac:dyDescent="0.35">
      <c r="B50" s="4"/>
      <c r="C50" s="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96" t="s">
        <v>69</v>
      </c>
      <c r="P50" s="96"/>
      <c r="Q50" s="96"/>
      <c r="R50" s="96"/>
      <c r="S50" s="96"/>
      <c r="T50" s="96"/>
      <c r="U50" s="96"/>
      <c r="V50" s="14"/>
    </row>
    <row r="51" spans="2:22" x14ac:dyDescent="0.35">
      <c r="B51" s="4"/>
      <c r="C51" s="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97" t="s">
        <v>70</v>
      </c>
      <c r="P51" s="97"/>
      <c r="Q51" s="98" t="s">
        <v>110</v>
      </c>
      <c r="R51" s="98"/>
      <c r="S51" s="98"/>
      <c r="T51" s="98"/>
      <c r="U51" s="98"/>
      <c r="V51" s="14"/>
    </row>
    <row r="52" spans="2:22" x14ac:dyDescent="0.35">
      <c r="B52" s="4"/>
      <c r="C52" s="4"/>
      <c r="D52" s="4"/>
      <c r="E52" s="4"/>
      <c r="F52" s="4"/>
      <c r="G52" s="4"/>
      <c r="H52" s="4"/>
      <c r="I52" s="14"/>
      <c r="J52" s="14"/>
      <c r="K52" s="14"/>
      <c r="L52" s="14"/>
      <c r="M52" s="14"/>
      <c r="N52" s="14"/>
      <c r="O52" s="97" t="s">
        <v>71</v>
      </c>
      <c r="P52" s="97"/>
      <c r="Q52" s="98" t="s">
        <v>104</v>
      </c>
      <c r="R52" s="98"/>
      <c r="S52" s="98"/>
      <c r="T52" s="98"/>
      <c r="U52" s="98"/>
      <c r="V52" s="14"/>
    </row>
    <row r="53" spans="2:22" ht="30.75" customHeight="1" x14ac:dyDescent="0.35">
      <c r="B53" s="4"/>
      <c r="C53" s="4"/>
      <c r="D53" s="99" t="s">
        <v>10</v>
      </c>
      <c r="E53" s="99"/>
      <c r="F53" s="99"/>
      <c r="G53" s="51" t="s">
        <v>99</v>
      </c>
      <c r="H53" s="51" t="s">
        <v>100</v>
      </c>
      <c r="I53" s="14"/>
      <c r="J53" s="14"/>
      <c r="K53" s="14"/>
      <c r="L53" s="14"/>
      <c r="M53" s="14"/>
      <c r="N53" s="14"/>
      <c r="O53" s="97" t="s">
        <v>72</v>
      </c>
      <c r="P53" s="97"/>
      <c r="Q53" s="100"/>
      <c r="R53" s="100"/>
      <c r="S53" s="100"/>
      <c r="T53" s="100"/>
      <c r="U53" s="100"/>
      <c r="V53" s="14"/>
    </row>
    <row r="54" spans="2:22" x14ac:dyDescent="0.35">
      <c r="B54" s="4"/>
      <c r="C54" s="4"/>
      <c r="D54" s="95" t="s">
        <v>11</v>
      </c>
      <c r="E54" s="95"/>
      <c r="F54" s="95"/>
      <c r="G54" s="40">
        <f>COUNT(C14:C41)</f>
        <v>24</v>
      </c>
      <c r="H54" s="44">
        <v>1</v>
      </c>
      <c r="I54" s="14"/>
      <c r="J54" s="14"/>
      <c r="K54" s="14"/>
      <c r="L54" s="14"/>
      <c r="M54" s="14"/>
      <c r="N54" s="14"/>
      <c r="O54" s="97" t="s">
        <v>73</v>
      </c>
      <c r="P54" s="97"/>
      <c r="Q54" s="101" t="s">
        <v>105</v>
      </c>
      <c r="R54" s="98"/>
      <c r="S54" s="98"/>
      <c r="T54" s="98"/>
      <c r="U54" s="98"/>
      <c r="V54" s="14"/>
    </row>
    <row r="55" spans="2:22" x14ac:dyDescent="0.35">
      <c r="B55" s="4"/>
      <c r="C55" s="4"/>
      <c r="D55" s="95" t="s">
        <v>12</v>
      </c>
      <c r="E55" s="95"/>
      <c r="F55" s="95"/>
      <c r="G55" s="40">
        <f>COUNTIF(V14:V43,"Aprobado")</f>
        <v>0</v>
      </c>
      <c r="H55" s="45">
        <f>(G55*H54)/G54</f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2:22" x14ac:dyDescent="0.35">
      <c r="B56" s="4"/>
      <c r="C56" s="4"/>
      <c r="D56" s="95" t="s">
        <v>13</v>
      </c>
      <c r="E56" s="95"/>
      <c r="F56" s="95"/>
      <c r="G56" s="40">
        <f>COUNTIF(V14:V43,"Reprobado")</f>
        <v>0</v>
      </c>
      <c r="H56" s="45">
        <f>(G56*H54)/G54</f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2:22" ht="16.5" customHeight="1" x14ac:dyDescent="0.35">
      <c r="B57" s="4"/>
      <c r="C57" s="4"/>
      <c r="D57" s="95" t="s">
        <v>9</v>
      </c>
      <c r="E57" s="95"/>
      <c r="F57" s="95"/>
      <c r="G57" s="40">
        <f>COUNTIF(V14:V43,"Abandono")</f>
        <v>24</v>
      </c>
      <c r="H57" s="45">
        <f>(G57*H54)/G54</f>
        <v>1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2:22" ht="16.5" customHeight="1" x14ac:dyDescent="0.35">
      <c r="G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2:22" ht="14.25" customHeight="1" x14ac:dyDescent="0.35"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2:22" ht="15" customHeight="1" x14ac:dyDescent="0.35">
      <c r="N60" s="14"/>
      <c r="O60" s="14"/>
      <c r="P60" s="14"/>
      <c r="Q60" s="14"/>
      <c r="R60" s="14"/>
      <c r="S60" s="14"/>
      <c r="T60" s="14"/>
      <c r="U60" s="14"/>
      <c r="V60" s="14"/>
    </row>
  </sheetData>
  <mergeCells count="83">
    <mergeCell ref="C6:D6"/>
    <mergeCell ref="E6:O6"/>
    <mergeCell ref="S6:T6"/>
    <mergeCell ref="A1:B4"/>
    <mergeCell ref="S1:U1"/>
    <mergeCell ref="U2:V3"/>
    <mergeCell ref="F3:T4"/>
    <mergeCell ref="S5:T5"/>
    <mergeCell ref="E7:E8"/>
    <mergeCell ref="F7:F13"/>
    <mergeCell ref="V7:V13"/>
    <mergeCell ref="G8:G13"/>
    <mergeCell ref="H8:H13"/>
    <mergeCell ref="I8:I13"/>
    <mergeCell ref="J8:J13"/>
    <mergeCell ref="K8:K13"/>
    <mergeCell ref="L8:L13"/>
    <mergeCell ref="D19:E19"/>
    <mergeCell ref="S8:S13"/>
    <mergeCell ref="T8:T13"/>
    <mergeCell ref="U8:U13"/>
    <mergeCell ref="C9:D9"/>
    <mergeCell ref="C10:D10"/>
    <mergeCell ref="C11:D11"/>
    <mergeCell ref="C12:D12"/>
    <mergeCell ref="D13:E13"/>
    <mergeCell ref="M8:M13"/>
    <mergeCell ref="N8:N13"/>
    <mergeCell ref="O8:O13"/>
    <mergeCell ref="P8:P13"/>
    <mergeCell ref="Q8:Q13"/>
    <mergeCell ref="R8:R13"/>
    <mergeCell ref="C7:D8"/>
    <mergeCell ref="D14:E14"/>
    <mergeCell ref="D15:E15"/>
    <mergeCell ref="D16:E16"/>
    <mergeCell ref="D17:E17"/>
    <mergeCell ref="D18:E18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43:E43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E48:G48"/>
    <mergeCell ref="H48:I48"/>
    <mergeCell ref="K48:M48"/>
    <mergeCell ref="P48:R48"/>
    <mergeCell ref="E49:G49"/>
    <mergeCell ref="H49:I49"/>
    <mergeCell ref="K49:M49"/>
    <mergeCell ref="D57:F57"/>
    <mergeCell ref="O50:U50"/>
    <mergeCell ref="O51:P51"/>
    <mergeCell ref="Q51:U51"/>
    <mergeCell ref="O52:P52"/>
    <mergeCell ref="Q52:U52"/>
    <mergeCell ref="D53:F53"/>
    <mergeCell ref="O53:P53"/>
    <mergeCell ref="Q53:U53"/>
    <mergeCell ref="D54:F54"/>
    <mergeCell ref="O54:P54"/>
    <mergeCell ref="Q54:U54"/>
    <mergeCell ref="D55:F55"/>
    <mergeCell ref="D56:F56"/>
  </mergeCells>
  <pageMargins left="0.47244094488188981" right="0.59055118110236227" top="0.35433070866141736" bottom="0.35433070866141736" header="0.31496062992125984" footer="0.31496062992125984"/>
  <pageSetup scale="6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'[1]LISTA 2'!#REF!</xm:f>
          </x14:formula1>
          <xm:sqref>E6:O6</xm:sqref>
        </x14:dataValidation>
        <x14:dataValidation type="list" allowBlank="1" showInputMessage="1" showErrorMessage="1">
          <x14:formula1>
            <xm:f>[1]Lista!#REF!</xm:f>
          </x14:formula1>
          <xm:sqref>U6:V6</xm:sqref>
        </x14:dataValidation>
        <x14:dataValidation type="list" allowBlank="1" showInputMessage="1" showErrorMessage="1">
          <x14:formula1>
            <xm:f>[1]Lista!#REF!</xm:f>
          </x14:formula1>
          <xm:sqref>U5</xm:sqref>
        </x14:dataValidation>
        <x14:dataValidation type="list" allowBlank="1" showInputMessage="1" showErrorMessage="1">
          <x14:formula1>
            <xm:f>[1]Lista!#REF!</xm:f>
          </x14:formula1>
          <xm:sqref>E11</xm:sqref>
        </x14:dataValidation>
        <x14:dataValidation type="list" allowBlank="1" showInputMessage="1" showErrorMessage="1">
          <x14:formula1>
            <xm:f>[1]Lista!#REF!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J11" sqref="J11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120</v>
      </c>
      <c r="F8" s="134"/>
      <c r="G8" s="134"/>
      <c r="H8" s="135"/>
      <c r="I8" s="27" t="s">
        <v>80</v>
      </c>
      <c r="J8" s="132" t="s">
        <v>112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">
        <v>128</v>
      </c>
      <c r="F10" s="136"/>
      <c r="G10" s="136"/>
      <c r="H10" s="137"/>
      <c r="I10" s="28" t="s">
        <v>52</v>
      </c>
      <c r="J10" s="132">
        <v>2022</v>
      </c>
      <c r="K10" s="136"/>
    </row>
    <row r="12" spans="1:11" ht="34.5" customHeight="1" x14ac:dyDescent="0.35">
      <c r="C12" s="49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25"/>
      <c r="E13" s="126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25"/>
      <c r="E14" s="126"/>
      <c r="F14" s="32"/>
      <c r="G14" s="32"/>
      <c r="H14" s="35">
        <f t="shared" ref="H14:H36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1"/>
      <c r="E15" s="142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25"/>
      <c r="E16" s="126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25"/>
      <c r="E17" s="126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3"/>
      <c r="E18" s="144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25"/>
      <c r="E19" s="126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25"/>
      <c r="E20" s="126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25"/>
      <c r="E21" s="126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25"/>
      <c r="E22" s="126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25"/>
      <c r="E23" s="126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25"/>
      <c r="E24" s="126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25"/>
      <c r="E25" s="126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25"/>
      <c r="E26" s="126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25"/>
      <c r="E27" s="126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25"/>
      <c r="E28" s="126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25"/>
      <c r="E29" s="126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25"/>
      <c r="E30" s="126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25"/>
      <c r="E31" s="126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5"/>
      <c r="E32" s="126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25"/>
      <c r="E33" s="126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25"/>
      <c r="E34" s="126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6"/>
      <c r="E35" s="147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25"/>
      <c r="E36" s="126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B61:D61"/>
    <mergeCell ref="F61:G61"/>
    <mergeCell ref="I61:K61"/>
    <mergeCell ref="B62:D62"/>
    <mergeCell ref="F62:G62"/>
    <mergeCell ref="I62:K62"/>
    <mergeCell ref="G52:H52"/>
    <mergeCell ref="J52:K52"/>
    <mergeCell ref="G53:H53"/>
    <mergeCell ref="J53:K53"/>
    <mergeCell ref="G54:H54"/>
    <mergeCell ref="J54:K54"/>
    <mergeCell ref="D47:E47"/>
    <mergeCell ref="J47:K47"/>
    <mergeCell ref="G50:H50"/>
    <mergeCell ref="J50:K50"/>
    <mergeCell ref="G51:H51"/>
    <mergeCell ref="J51:K51"/>
    <mergeCell ref="D44:E44"/>
    <mergeCell ref="J44:K44"/>
    <mergeCell ref="D45:E45"/>
    <mergeCell ref="J45:K45"/>
    <mergeCell ref="D46:E46"/>
    <mergeCell ref="J46:K46"/>
    <mergeCell ref="D41:E41"/>
    <mergeCell ref="J41:K41"/>
    <mergeCell ref="D42:E42"/>
    <mergeCell ref="J42:K42"/>
    <mergeCell ref="D43:E43"/>
    <mergeCell ref="J43:K43"/>
    <mergeCell ref="D38:E38"/>
    <mergeCell ref="J38:K38"/>
    <mergeCell ref="D39:E39"/>
    <mergeCell ref="J39:K39"/>
    <mergeCell ref="D40:E40"/>
    <mergeCell ref="J40:K40"/>
    <mergeCell ref="D35:E35"/>
    <mergeCell ref="J35:K35"/>
    <mergeCell ref="D36:E36"/>
    <mergeCell ref="J36:K36"/>
    <mergeCell ref="D37:E37"/>
    <mergeCell ref="J37:K37"/>
    <mergeCell ref="D32:E32"/>
    <mergeCell ref="J32:K32"/>
    <mergeCell ref="D33:E33"/>
    <mergeCell ref="J33:K33"/>
    <mergeCell ref="D34:E34"/>
    <mergeCell ref="J34:K34"/>
    <mergeCell ref="D29:E29"/>
    <mergeCell ref="J29:K29"/>
    <mergeCell ref="D30:E30"/>
    <mergeCell ref="J30:K30"/>
    <mergeCell ref="D31:E31"/>
    <mergeCell ref="J31:K31"/>
    <mergeCell ref="D26:E26"/>
    <mergeCell ref="J26:K26"/>
    <mergeCell ref="D27:E27"/>
    <mergeCell ref="J27:K27"/>
    <mergeCell ref="D28:E28"/>
    <mergeCell ref="J28:K28"/>
    <mergeCell ref="D23:E23"/>
    <mergeCell ref="J23:K23"/>
    <mergeCell ref="D24:E24"/>
    <mergeCell ref="J24:K24"/>
    <mergeCell ref="D25:E25"/>
    <mergeCell ref="J25:K25"/>
    <mergeCell ref="D20:E20"/>
    <mergeCell ref="J20:K20"/>
    <mergeCell ref="D21:E21"/>
    <mergeCell ref="J21:K21"/>
    <mergeCell ref="D22:E22"/>
    <mergeCell ref="J22:K22"/>
    <mergeCell ref="D17:E17"/>
    <mergeCell ref="J17:K17"/>
    <mergeCell ref="D18:E18"/>
    <mergeCell ref="J18:K18"/>
    <mergeCell ref="D19:E19"/>
    <mergeCell ref="J19:K19"/>
    <mergeCell ref="D14:E14"/>
    <mergeCell ref="J14:K14"/>
    <mergeCell ref="D15:E15"/>
    <mergeCell ref="J15:K15"/>
    <mergeCell ref="D16:E16"/>
    <mergeCell ref="J16:K16"/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topLeftCell="A3" zoomScaleNormal="100" zoomScaleSheetLayoutView="100" workbookViewId="0">
      <selection activeCell="E9" sqref="E9:H9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121</v>
      </c>
      <c r="F8" s="134"/>
      <c r="G8" s="134"/>
      <c r="H8" s="135"/>
      <c r="I8" s="27" t="s">
        <v>80</v>
      </c>
      <c r="J8" s="132" t="s">
        <v>113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E8" sqref="E8:H8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122</v>
      </c>
      <c r="F8" s="134"/>
      <c r="G8" s="134"/>
      <c r="H8" s="135"/>
      <c r="I8" s="27" t="s">
        <v>80</v>
      </c>
      <c r="J8" s="132" t="s">
        <v>114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D9" sqref="D9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129</v>
      </c>
      <c r="F8" s="134"/>
      <c r="G8" s="134"/>
      <c r="H8" s="135"/>
      <c r="I8" s="27" t="s">
        <v>80</v>
      </c>
      <c r="J8" s="132" t="s">
        <v>115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J5" sqref="J5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56" t="s">
        <v>130</v>
      </c>
      <c r="F8" s="157"/>
      <c r="G8" s="157"/>
      <c r="H8" s="158"/>
      <c r="I8" s="27" t="s">
        <v>80</v>
      </c>
      <c r="J8" s="132" t="s">
        <v>116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topLeftCell="A5" zoomScaleNormal="100" zoomScaleSheetLayoutView="100" workbookViewId="0">
      <selection activeCell="L8" sqref="L8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59" t="s">
        <v>131</v>
      </c>
      <c r="F8" s="160"/>
      <c r="G8" s="160"/>
      <c r="H8" s="161"/>
      <c r="I8" s="27" t="s">
        <v>80</v>
      </c>
      <c r="J8" s="132" t="s">
        <v>117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topLeftCell="A3" zoomScaleNormal="100" zoomScaleSheetLayoutView="100" workbookViewId="0">
      <selection activeCell="J9" sqref="J9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126</v>
      </c>
      <c r="F8" s="134"/>
      <c r="G8" s="134"/>
      <c r="H8" s="135"/>
      <c r="I8" s="27" t="s">
        <v>80</v>
      </c>
      <c r="J8" s="132" t="s">
        <v>118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0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1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ref="J17:J36" si="2">IF(H17=0,"Abandono",IF(H17&gt;=61,"Aprobado","Reprobado"))</f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2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2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2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2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2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2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2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2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2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2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2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2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2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2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2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2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2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2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2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D21" sqref="D21:E21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">
        <v>127</v>
      </c>
      <c r="F8" s="134"/>
      <c r="G8" s="134"/>
      <c r="H8" s="135"/>
      <c r="I8" s="27" t="s">
        <v>80</v>
      </c>
      <c r="J8" s="132" t="s">
        <v>119</v>
      </c>
      <c r="K8" s="136"/>
    </row>
    <row r="9" spans="1:11" x14ac:dyDescent="0.35">
      <c r="D9" s="27" t="s">
        <v>78</v>
      </c>
      <c r="E9" s="133"/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5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>
        <f>+'COA-301'!D13:E13</f>
        <v>0</v>
      </c>
      <c r="E13" s="148"/>
      <c r="F13" s="32"/>
      <c r="G13" s="32"/>
      <c r="H13" s="35">
        <f>+F13+G13</f>
        <v>0</v>
      </c>
      <c r="I13" s="32"/>
      <c r="J13" s="127" t="str">
        <f>IF(H13=0,"Abandono",IF(H13&gt;=61,"Aprobado","Reprobado"))</f>
        <v>Abandono</v>
      </c>
      <c r="K13" s="128"/>
    </row>
    <row r="14" spans="1:11" ht="12.75" customHeight="1" x14ac:dyDescent="0.35">
      <c r="C14" s="30">
        <v>2</v>
      </c>
      <c r="D14" s="148">
        <f>+'COA-301'!D14:E14</f>
        <v>0</v>
      </c>
      <c r="E14" s="148"/>
      <c r="F14" s="32"/>
      <c r="G14" s="32"/>
      <c r="H14" s="35">
        <f t="shared" ref="H14:H47" si="0">+F14+G14</f>
        <v>0</v>
      </c>
      <c r="I14" s="32"/>
      <c r="J14" s="127" t="str">
        <f t="shared" ref="J14:J36" si="1">IF(H14=0,"Abandono",IF(H14&gt;=61,"Aprobado","Reprobado"))</f>
        <v>Abandono</v>
      </c>
      <c r="K14" s="128"/>
    </row>
    <row r="15" spans="1:11" ht="12.75" customHeight="1" x14ac:dyDescent="0.35">
      <c r="C15" s="30">
        <v>3</v>
      </c>
      <c r="D15" s="148">
        <f>+'COA-301'!D15:E15</f>
        <v>0</v>
      </c>
      <c r="E15" s="148"/>
      <c r="F15" s="32"/>
      <c r="G15" s="32"/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>
        <f>+'COA-301'!D16:E16</f>
        <v>0</v>
      </c>
      <c r="E16" s="148"/>
      <c r="F16" s="32"/>
      <c r="G16" s="32"/>
      <c r="H16" s="35">
        <f t="shared" si="0"/>
        <v>0</v>
      </c>
      <c r="I16" s="32"/>
      <c r="J16" s="127" t="str">
        <f t="shared" si="1"/>
        <v>Abandono</v>
      </c>
      <c r="K16" s="128"/>
    </row>
    <row r="17" spans="3:11" ht="12.75" customHeight="1" x14ac:dyDescent="0.35">
      <c r="C17" s="30">
        <v>5</v>
      </c>
      <c r="D17" s="148">
        <f>+'COA-301'!D17:E17</f>
        <v>0</v>
      </c>
      <c r="E17" s="148"/>
      <c r="F17" s="32"/>
      <c r="G17" s="32"/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48">
        <f>+'COA-301'!D18:E18</f>
        <v>0</v>
      </c>
      <c r="E18" s="148"/>
      <c r="F18" s="32"/>
      <c r="G18" s="32"/>
      <c r="H18" s="35">
        <f t="shared" si="0"/>
        <v>0</v>
      </c>
      <c r="I18" s="32"/>
      <c r="J18" s="127" t="str">
        <f t="shared" si="1"/>
        <v>Abandono</v>
      </c>
      <c r="K18" s="128"/>
    </row>
    <row r="19" spans="3:11" ht="12.75" customHeight="1" x14ac:dyDescent="0.35">
      <c r="C19" s="30">
        <v>7</v>
      </c>
      <c r="D19" s="148">
        <f>+'COA-301'!D19:E19</f>
        <v>0</v>
      </c>
      <c r="E19" s="148"/>
      <c r="F19" s="32"/>
      <c r="G19" s="32"/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>
        <f>+'COA-301'!D20:E20</f>
        <v>0</v>
      </c>
      <c r="E20" s="148"/>
      <c r="F20" s="32"/>
      <c r="G20" s="32"/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>
        <f>+'COA-301'!D21:E21</f>
        <v>0</v>
      </c>
      <c r="E21" s="148"/>
      <c r="F21" s="32"/>
      <c r="G21" s="32"/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>
        <f>+'COA-301'!D22:E22</f>
        <v>0</v>
      </c>
      <c r="E22" s="148"/>
      <c r="F22" s="32"/>
      <c r="G22" s="32"/>
      <c r="H22" s="35">
        <f t="shared" si="0"/>
        <v>0</v>
      </c>
      <c r="I22" s="32"/>
      <c r="J22" s="127" t="str">
        <f t="shared" si="1"/>
        <v>Abandono</v>
      </c>
      <c r="K22" s="128"/>
    </row>
    <row r="23" spans="3:11" ht="12.75" customHeight="1" x14ac:dyDescent="0.35">
      <c r="C23" s="30">
        <v>11</v>
      </c>
      <c r="D23" s="148">
        <f>+'COA-301'!D23:E23</f>
        <v>0</v>
      </c>
      <c r="E23" s="148"/>
      <c r="F23" s="32"/>
      <c r="G23" s="32"/>
      <c r="H23" s="35">
        <f t="shared" si="0"/>
        <v>0</v>
      </c>
      <c r="I23" s="32"/>
      <c r="J23" s="127" t="str">
        <f t="shared" si="1"/>
        <v>Abandono</v>
      </c>
      <c r="K23" s="128"/>
    </row>
    <row r="24" spans="3:11" ht="12.75" customHeight="1" x14ac:dyDescent="0.35">
      <c r="C24" s="30">
        <v>12</v>
      </c>
      <c r="D24" s="148">
        <f>+'COA-301'!D24:E24</f>
        <v>0</v>
      </c>
      <c r="E24" s="148"/>
      <c r="F24" s="32"/>
      <c r="G24" s="32"/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48">
        <f>+'COA-301'!D25:E25</f>
        <v>0</v>
      </c>
      <c r="E25" s="148"/>
      <c r="F25" s="32"/>
      <c r="G25" s="32"/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48">
        <f>+'COA-301'!D26:E26</f>
        <v>0</v>
      </c>
      <c r="E26" s="148"/>
      <c r="F26" s="32"/>
      <c r="G26" s="32"/>
      <c r="H26" s="35">
        <f t="shared" si="0"/>
        <v>0</v>
      </c>
      <c r="I26" s="32"/>
      <c r="J26" s="127" t="str">
        <f t="shared" si="1"/>
        <v>Abandono</v>
      </c>
      <c r="K26" s="128"/>
    </row>
    <row r="27" spans="3:11" ht="12.75" customHeight="1" x14ac:dyDescent="0.35">
      <c r="C27" s="30">
        <v>15</v>
      </c>
      <c r="D27" s="148">
        <f>+'COA-301'!D27:E27</f>
        <v>0</v>
      </c>
      <c r="E27" s="148"/>
      <c r="F27" s="32"/>
      <c r="G27" s="32"/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48">
        <f>+'COA-301'!D28:E28</f>
        <v>0</v>
      </c>
      <c r="E28" s="148"/>
      <c r="F28" s="32"/>
      <c r="G28" s="32"/>
      <c r="H28" s="35">
        <f t="shared" si="0"/>
        <v>0</v>
      </c>
      <c r="I28" s="32"/>
      <c r="J28" s="127" t="str">
        <f t="shared" si="1"/>
        <v>Abandono</v>
      </c>
      <c r="K28" s="128"/>
    </row>
    <row r="29" spans="3:11" ht="12.75" customHeight="1" x14ac:dyDescent="0.35">
      <c r="C29" s="30">
        <v>17</v>
      </c>
      <c r="D29" s="148">
        <f>+'COA-301'!D29:E29</f>
        <v>0</v>
      </c>
      <c r="E29" s="148"/>
      <c r="F29" s="32"/>
      <c r="G29" s="32"/>
      <c r="H29" s="35">
        <f t="shared" si="0"/>
        <v>0</v>
      </c>
      <c r="I29" s="32"/>
      <c r="J29" s="127" t="str">
        <f t="shared" si="1"/>
        <v>Abandono</v>
      </c>
      <c r="K29" s="128"/>
    </row>
    <row r="30" spans="3:11" x14ac:dyDescent="0.35">
      <c r="C30" s="30">
        <v>18</v>
      </c>
      <c r="D30" s="148">
        <f>+'COA-301'!D30:E30</f>
        <v>0</v>
      </c>
      <c r="E30" s="148"/>
      <c r="F30" s="32"/>
      <c r="G30" s="32"/>
      <c r="H30" s="35">
        <f t="shared" si="0"/>
        <v>0</v>
      </c>
      <c r="I30" s="32"/>
      <c r="J30" s="127" t="str">
        <f t="shared" si="1"/>
        <v>Abandono</v>
      </c>
      <c r="K30" s="128"/>
    </row>
    <row r="31" spans="3:11" x14ac:dyDescent="0.35">
      <c r="C31" s="30">
        <v>19</v>
      </c>
      <c r="D31" s="148">
        <f>+'COA-301'!D31:E31</f>
        <v>0</v>
      </c>
      <c r="E31" s="148"/>
      <c r="F31" s="32"/>
      <c r="G31" s="32"/>
      <c r="H31" s="35">
        <f t="shared" si="0"/>
        <v>0</v>
      </c>
      <c r="I31" s="32"/>
      <c r="J31" s="127" t="str">
        <f t="shared" si="1"/>
        <v>Abandono</v>
      </c>
      <c r="K31" s="128"/>
    </row>
    <row r="32" spans="3:11" x14ac:dyDescent="0.35">
      <c r="C32" s="30">
        <v>20</v>
      </c>
      <c r="D32" s="148">
        <f>+'COA-301'!D32:E32</f>
        <v>0</v>
      </c>
      <c r="E32" s="148"/>
      <c r="F32" s="32"/>
      <c r="G32" s="32"/>
      <c r="H32" s="35">
        <f t="shared" si="0"/>
        <v>0</v>
      </c>
      <c r="I32" s="32"/>
      <c r="J32" s="127" t="str">
        <f t="shared" si="1"/>
        <v>Abandono</v>
      </c>
      <c r="K32" s="128"/>
    </row>
    <row r="33" spans="3:11" x14ac:dyDescent="0.35">
      <c r="C33" s="30">
        <v>21</v>
      </c>
      <c r="D33" s="148">
        <f>+'COA-301'!D33:E33</f>
        <v>0</v>
      </c>
      <c r="E33" s="148"/>
      <c r="F33" s="32"/>
      <c r="G33" s="32"/>
      <c r="H33" s="35">
        <f t="shared" si="0"/>
        <v>0</v>
      </c>
      <c r="I33" s="32"/>
      <c r="J33" s="127" t="str">
        <f t="shared" si="1"/>
        <v>Abandono</v>
      </c>
      <c r="K33" s="128"/>
    </row>
    <row r="34" spans="3:11" x14ac:dyDescent="0.35">
      <c r="C34" s="30">
        <v>22</v>
      </c>
      <c r="D34" s="148">
        <f>+'COA-301'!D34:E34</f>
        <v>0</v>
      </c>
      <c r="E34" s="148"/>
      <c r="F34" s="32"/>
      <c r="G34" s="32"/>
      <c r="H34" s="35">
        <f t="shared" si="0"/>
        <v>0</v>
      </c>
      <c r="I34" s="32"/>
      <c r="J34" s="127" t="str">
        <f t="shared" si="1"/>
        <v>Abandono</v>
      </c>
      <c r="K34" s="128"/>
    </row>
    <row r="35" spans="3:11" x14ac:dyDescent="0.35">
      <c r="C35" s="30">
        <v>23</v>
      </c>
      <c r="D35" s="148">
        <f>+'COA-301'!D35:E35</f>
        <v>0</v>
      </c>
      <c r="E35" s="148"/>
      <c r="F35" s="32"/>
      <c r="G35" s="32"/>
      <c r="H35" s="35">
        <f t="shared" si="0"/>
        <v>0</v>
      </c>
      <c r="I35" s="32"/>
      <c r="J35" s="127" t="str">
        <f t="shared" si="1"/>
        <v>Abandono</v>
      </c>
      <c r="K35" s="128"/>
    </row>
    <row r="36" spans="3:11" x14ac:dyDescent="0.35">
      <c r="C36" s="30">
        <v>24</v>
      </c>
      <c r="D36" s="148">
        <f>+'COA-301'!D36:E36</f>
        <v>0</v>
      </c>
      <c r="E36" s="148"/>
      <c r="F36" s="32"/>
      <c r="G36" s="32"/>
      <c r="H36" s="35">
        <f t="shared" si="0"/>
        <v>0</v>
      </c>
      <c r="I36" s="32"/>
      <c r="J36" s="127" t="str">
        <f t="shared" si="1"/>
        <v>Abandono</v>
      </c>
      <c r="K36" s="128"/>
    </row>
    <row r="37" spans="3:11" x14ac:dyDescent="0.35">
      <c r="C37" s="30"/>
      <c r="D37" s="148"/>
      <c r="E37" s="148"/>
      <c r="F37" s="32"/>
      <c r="G37" s="32"/>
      <c r="H37" s="35">
        <f t="shared" si="0"/>
        <v>0</v>
      </c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>
        <f t="shared" si="0"/>
        <v>0</v>
      </c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>
        <f t="shared" si="0"/>
        <v>0</v>
      </c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>
        <f t="shared" si="0"/>
        <v>0</v>
      </c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>
        <f t="shared" si="0"/>
        <v>0</v>
      </c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>
        <f t="shared" si="0"/>
        <v>0</v>
      </c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>
        <f t="shared" si="0"/>
        <v>0</v>
      </c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>
        <f t="shared" si="0"/>
        <v>0</v>
      </c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>
        <f t="shared" si="0"/>
        <v>0</v>
      </c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>
        <f t="shared" si="0"/>
        <v>0</v>
      </c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>
        <f t="shared" si="0"/>
        <v>0</v>
      </c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24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0</v>
      </c>
      <c r="J52" s="154">
        <f>(I52*J51)/I51</f>
        <v>0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24</v>
      </c>
      <c r="J54" s="154">
        <f>(I54*J51)/I51</f>
        <v>1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B61:D61"/>
    <mergeCell ref="F61:G61"/>
    <mergeCell ref="I61:K61"/>
    <mergeCell ref="B62:D62"/>
    <mergeCell ref="F62:G62"/>
    <mergeCell ref="I62:K62"/>
    <mergeCell ref="G52:H52"/>
    <mergeCell ref="J52:K52"/>
    <mergeCell ref="G53:H53"/>
    <mergeCell ref="J53:K53"/>
    <mergeCell ref="G54:H54"/>
    <mergeCell ref="J54:K54"/>
    <mergeCell ref="D47:E47"/>
    <mergeCell ref="J47:K47"/>
    <mergeCell ref="G50:H50"/>
    <mergeCell ref="J50:K50"/>
    <mergeCell ref="G51:H51"/>
    <mergeCell ref="J51:K51"/>
    <mergeCell ref="D44:E44"/>
    <mergeCell ref="J44:K44"/>
    <mergeCell ref="D45:E45"/>
    <mergeCell ref="J45:K45"/>
    <mergeCell ref="D46:E46"/>
    <mergeCell ref="J46:K46"/>
    <mergeCell ref="D41:E41"/>
    <mergeCell ref="J41:K41"/>
    <mergeCell ref="D42:E42"/>
    <mergeCell ref="J42:K42"/>
    <mergeCell ref="D43:E43"/>
    <mergeCell ref="J43:K43"/>
    <mergeCell ref="D38:E38"/>
    <mergeCell ref="J38:K38"/>
    <mergeCell ref="D39:E39"/>
    <mergeCell ref="J39:K39"/>
    <mergeCell ref="D40:E40"/>
    <mergeCell ref="J40:K40"/>
    <mergeCell ref="D35:E35"/>
    <mergeCell ref="J35:K35"/>
    <mergeCell ref="D36:E36"/>
    <mergeCell ref="J36:K36"/>
    <mergeCell ref="D37:E37"/>
    <mergeCell ref="J37:K37"/>
    <mergeCell ref="D32:E32"/>
    <mergeCell ref="J32:K32"/>
    <mergeCell ref="D33:E33"/>
    <mergeCell ref="J33:K33"/>
    <mergeCell ref="D34:E34"/>
    <mergeCell ref="J34:K34"/>
    <mergeCell ref="D29:E29"/>
    <mergeCell ref="J29:K29"/>
    <mergeCell ref="D30:E30"/>
    <mergeCell ref="J30:K30"/>
    <mergeCell ref="D31:E31"/>
    <mergeCell ref="J31:K31"/>
    <mergeCell ref="D26:E26"/>
    <mergeCell ref="J26:K26"/>
    <mergeCell ref="D27:E27"/>
    <mergeCell ref="J27:K27"/>
    <mergeCell ref="D28:E28"/>
    <mergeCell ref="J28:K28"/>
    <mergeCell ref="D23:E23"/>
    <mergeCell ref="J23:K23"/>
    <mergeCell ref="D24:E24"/>
    <mergeCell ref="J24:K24"/>
    <mergeCell ref="D25:E25"/>
    <mergeCell ref="J25:K25"/>
    <mergeCell ref="D20:E20"/>
    <mergeCell ref="J20:K20"/>
    <mergeCell ref="D21:E21"/>
    <mergeCell ref="J21:K21"/>
    <mergeCell ref="D22:E22"/>
    <mergeCell ref="J22:K22"/>
    <mergeCell ref="D17:E17"/>
    <mergeCell ref="J17:K17"/>
    <mergeCell ref="D18:E18"/>
    <mergeCell ref="J18:K18"/>
    <mergeCell ref="D19:E19"/>
    <mergeCell ref="J19:K19"/>
    <mergeCell ref="D14:E14"/>
    <mergeCell ref="J14:K14"/>
    <mergeCell ref="D15:E15"/>
    <mergeCell ref="J15:K15"/>
    <mergeCell ref="D16:E16"/>
    <mergeCell ref="J16:K16"/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tabSelected="1" zoomScale="59" zoomScaleNormal="59" zoomScaleSheetLayoutView="100" workbookViewId="0">
      <selection activeCell="J1" sqref="J1"/>
    </sheetView>
  </sheetViews>
  <sheetFormatPr baseColWidth="10" defaultRowHeight="14.5" x14ac:dyDescent="0.35"/>
  <cols>
    <col min="1" max="1" width="10.26953125" customWidth="1"/>
    <col min="2" max="2" width="5" customWidth="1"/>
    <col min="3" max="3" width="5.1796875" customWidth="1"/>
    <col min="4" max="4" width="8.1796875" customWidth="1"/>
    <col min="5" max="5" width="29.54296875" customWidth="1"/>
    <col min="6" max="6" width="10.81640625" customWidth="1"/>
    <col min="7" max="7" width="7.7265625" customWidth="1"/>
    <col min="8" max="8" width="7.26953125" customWidth="1"/>
    <col min="9" max="9" width="7.1796875" customWidth="1"/>
    <col min="10" max="10" width="7.26953125" customWidth="1"/>
    <col min="11" max="12" width="8.7265625" customWidth="1"/>
    <col min="13" max="13" width="9" customWidth="1"/>
    <col min="14" max="14" width="8.81640625" customWidth="1"/>
    <col min="15" max="15" width="6.7265625" customWidth="1"/>
    <col min="16" max="16" width="7.1796875" customWidth="1"/>
    <col min="17" max="17" width="7" customWidth="1"/>
    <col min="18" max="19" width="7.26953125" customWidth="1"/>
    <col min="20" max="20" width="7" customWidth="1"/>
    <col min="21" max="21" width="7.26953125" customWidth="1"/>
    <col min="22" max="22" width="9.81640625" customWidth="1"/>
    <col min="29" max="29" width="11.36328125" customWidth="1"/>
    <col min="39" max="39" width="11.36328125" customWidth="1"/>
  </cols>
  <sheetData>
    <row r="1" spans="1:23" ht="15.75" customHeight="1" x14ac:dyDescent="0.35">
      <c r="A1" s="115"/>
      <c r="B1" s="116"/>
      <c r="C1" s="2"/>
      <c r="D1" s="2"/>
      <c r="E1" s="2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21"/>
      <c r="T1" s="121"/>
      <c r="U1" s="121"/>
      <c r="V1" s="53"/>
    </row>
    <row r="2" spans="1:23" ht="15" customHeight="1" x14ac:dyDescent="0.35">
      <c r="A2" s="117"/>
      <c r="B2" s="118"/>
      <c r="C2" s="2"/>
      <c r="D2" s="2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22"/>
      <c r="V2" s="122"/>
      <c r="W2" s="1"/>
    </row>
    <row r="3" spans="1:23" ht="20.25" customHeight="1" x14ac:dyDescent="0.35">
      <c r="A3" s="117"/>
      <c r="B3" s="118"/>
      <c r="C3" s="2"/>
      <c r="D3" s="2"/>
      <c r="E3" s="2"/>
      <c r="F3" s="123" t="s">
        <v>2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2"/>
      <c r="V3" s="122"/>
      <c r="W3" s="1"/>
    </row>
    <row r="4" spans="1:23" ht="21.75" customHeight="1" x14ac:dyDescent="0.35">
      <c r="A4" s="119"/>
      <c r="B4" s="120"/>
      <c r="C4" s="18"/>
      <c r="D4" s="19"/>
      <c r="E4" s="19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6"/>
      <c r="V4" s="12"/>
      <c r="W4" s="1"/>
    </row>
    <row r="5" spans="1:23" ht="16.5" customHeight="1" x14ac:dyDescent="0.35">
      <c r="B5" s="4"/>
      <c r="C5" s="4"/>
      <c r="D5" s="4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24" t="s">
        <v>7</v>
      </c>
      <c r="T5" s="124"/>
      <c r="U5" s="60" t="s">
        <v>58</v>
      </c>
      <c r="V5" s="60"/>
    </row>
    <row r="6" spans="1:23" ht="16.5" customHeight="1" x14ac:dyDescent="0.35">
      <c r="B6" s="4"/>
      <c r="C6" s="112" t="s">
        <v>74</v>
      </c>
      <c r="D6" s="112"/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9"/>
      <c r="Q6" s="9" t="s">
        <v>68</v>
      </c>
      <c r="R6" s="15" t="s">
        <v>109</v>
      </c>
      <c r="S6" s="114" t="s">
        <v>4</v>
      </c>
      <c r="T6" s="114"/>
      <c r="U6" s="16" t="s">
        <v>66</v>
      </c>
      <c r="V6" s="17"/>
    </row>
    <row r="7" spans="1:23" ht="17.149999999999999" customHeight="1" x14ac:dyDescent="0.35">
      <c r="B7" s="4"/>
      <c r="C7" s="163" t="s">
        <v>159</v>
      </c>
      <c r="D7" s="163"/>
      <c r="E7" s="109">
        <v>2022</v>
      </c>
      <c r="F7" s="110" t="s">
        <v>8</v>
      </c>
      <c r="G7" s="38" t="s">
        <v>112</v>
      </c>
      <c r="H7" s="38" t="s">
        <v>113</v>
      </c>
      <c r="I7" s="38" t="s">
        <v>114</v>
      </c>
      <c r="J7" s="38" t="s">
        <v>115</v>
      </c>
      <c r="K7" s="38" t="s">
        <v>116</v>
      </c>
      <c r="L7" s="38" t="s">
        <v>117</v>
      </c>
      <c r="M7" s="38" t="s">
        <v>118</v>
      </c>
      <c r="N7" s="38" t="s">
        <v>119</v>
      </c>
      <c r="O7" s="38"/>
      <c r="P7" s="38"/>
      <c r="Q7" s="38"/>
      <c r="R7" s="38"/>
      <c r="S7" s="38"/>
      <c r="T7" s="38"/>
      <c r="U7" s="38"/>
      <c r="V7" s="111" t="s">
        <v>3</v>
      </c>
    </row>
    <row r="8" spans="1:23" ht="17.149999999999999" customHeight="1" x14ac:dyDescent="0.35">
      <c r="B8" s="4"/>
      <c r="C8" s="163"/>
      <c r="D8" s="163"/>
      <c r="E8" s="109"/>
      <c r="F8" s="110"/>
      <c r="G8" s="105" t="s">
        <v>120</v>
      </c>
      <c r="H8" s="105" t="s">
        <v>121</v>
      </c>
      <c r="I8" s="105" t="s">
        <v>122</v>
      </c>
      <c r="J8" s="105" t="s">
        <v>123</v>
      </c>
      <c r="K8" s="105" t="s">
        <v>124</v>
      </c>
      <c r="L8" s="105" t="s">
        <v>125</v>
      </c>
      <c r="M8" s="105" t="s">
        <v>126</v>
      </c>
      <c r="N8" s="105" t="s">
        <v>127</v>
      </c>
      <c r="O8" s="105"/>
      <c r="P8" s="105"/>
      <c r="Q8" s="105"/>
      <c r="R8" s="105"/>
      <c r="S8" s="105"/>
      <c r="T8" s="105"/>
      <c r="U8" s="105"/>
      <c r="V8" s="111"/>
    </row>
    <row r="9" spans="1:23" ht="17.149999999999999" customHeight="1" x14ac:dyDescent="0.35">
      <c r="B9" s="4"/>
      <c r="C9" s="106" t="s">
        <v>49</v>
      </c>
      <c r="D9" s="106"/>
      <c r="E9" s="39" t="s">
        <v>47</v>
      </c>
      <c r="F9" s="110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11"/>
    </row>
    <row r="10" spans="1:23" ht="17.149999999999999" customHeight="1" x14ac:dyDescent="0.35">
      <c r="B10" s="4"/>
      <c r="C10" s="106" t="s">
        <v>0</v>
      </c>
      <c r="D10" s="106"/>
      <c r="E10" s="39" t="s">
        <v>102</v>
      </c>
      <c r="F10" s="110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11"/>
    </row>
    <row r="11" spans="1:23" ht="15" customHeight="1" x14ac:dyDescent="0.35">
      <c r="B11" s="4"/>
      <c r="C11" s="106" t="s">
        <v>50</v>
      </c>
      <c r="D11" s="106"/>
      <c r="E11" s="39" t="s">
        <v>54</v>
      </c>
      <c r="F11" s="110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11"/>
    </row>
    <row r="12" spans="1:23" ht="17.149999999999999" customHeight="1" x14ac:dyDescent="0.35">
      <c r="B12" s="4"/>
      <c r="C12" s="106" t="s">
        <v>51</v>
      </c>
      <c r="D12" s="106"/>
      <c r="E12" s="39" t="s">
        <v>111</v>
      </c>
      <c r="F12" s="110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11"/>
    </row>
    <row r="13" spans="1:23" ht="18" customHeight="1" x14ac:dyDescent="0.35">
      <c r="B13" s="4"/>
      <c r="C13" s="52" t="s">
        <v>1</v>
      </c>
      <c r="D13" s="107" t="s">
        <v>5</v>
      </c>
      <c r="E13" s="107"/>
      <c r="F13" s="110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11"/>
    </row>
    <row r="14" spans="1:23" x14ac:dyDescent="0.35">
      <c r="B14" s="4"/>
      <c r="C14" s="59">
        <v>1</v>
      </c>
      <c r="D14" s="162" t="str">
        <f>+'COA-301 T'!D13:E13</f>
        <v>Choque Choque Eneida</v>
      </c>
      <c r="E14" s="104"/>
      <c r="F14" s="77" t="s">
        <v>161</v>
      </c>
      <c r="G14" s="48">
        <f>+'COA-301 T'!H13</f>
        <v>0</v>
      </c>
      <c r="H14" s="48">
        <f>+'COC-302 T'!H13</f>
        <v>0</v>
      </c>
      <c r="I14" s="48">
        <f>+'COG-303 T'!H13</f>
        <v>0</v>
      </c>
      <c r="J14" s="48">
        <f>+'CEP-304 T'!H13</f>
        <v>0</v>
      </c>
      <c r="K14" s="48">
        <f>+'CSH-305 T'!H13</f>
        <v>0</v>
      </c>
      <c r="L14" s="48">
        <f>+'GCI-306 T'!H13</f>
        <v>0</v>
      </c>
      <c r="M14" s="48">
        <f>+'AEF-307 T'!H13</f>
        <v>0</v>
      </c>
      <c r="N14" s="48">
        <f>+'TMG-308 T'!H13</f>
        <v>0</v>
      </c>
      <c r="O14" s="42"/>
      <c r="P14" s="42"/>
      <c r="Q14" s="42"/>
      <c r="R14" s="42"/>
      <c r="S14" s="42"/>
      <c r="T14" s="42"/>
      <c r="U14" s="42"/>
      <c r="V14" s="42" t="str">
        <f>IF(M14=0,"Abandono",IF(AVERAGE(G14:M14)&gt;=61,"Aprobado","Reprobado"))</f>
        <v>Abandono</v>
      </c>
    </row>
    <row r="15" spans="1:23" ht="14.25" customHeight="1" x14ac:dyDescent="0.35">
      <c r="B15" s="4"/>
      <c r="C15" s="59">
        <v>2</v>
      </c>
      <c r="D15" s="162" t="str">
        <f>+'COA-301 T'!D14:E14</f>
        <v>Condori Felipez Nahely</v>
      </c>
      <c r="E15" s="104"/>
      <c r="F15" s="77" t="s">
        <v>162</v>
      </c>
      <c r="G15" s="48">
        <f>+'COA-301 T'!H14</f>
        <v>0</v>
      </c>
      <c r="H15" s="48">
        <f>+'COC-302 T'!H14</f>
        <v>0</v>
      </c>
      <c r="I15" s="48">
        <f>+'COG-303 T'!H14</f>
        <v>0</v>
      </c>
      <c r="J15" s="48">
        <f>+'CEP-304 T'!H14</f>
        <v>0</v>
      </c>
      <c r="K15" s="48">
        <f>+'CSH-305 T'!H14</f>
        <v>0</v>
      </c>
      <c r="L15" s="48">
        <f>+'GCI-306 T'!H14</f>
        <v>0</v>
      </c>
      <c r="M15" s="48">
        <f>+'AEF-307 T'!H14</f>
        <v>0</v>
      </c>
      <c r="N15" s="48">
        <f>+'TMG-308 T'!H14</f>
        <v>0</v>
      </c>
      <c r="O15" s="42"/>
      <c r="P15" s="42"/>
      <c r="Q15" s="42"/>
      <c r="R15" s="42"/>
      <c r="S15" s="42"/>
      <c r="T15" s="42"/>
      <c r="U15" s="42"/>
      <c r="V15" s="42" t="str">
        <f t="shared" ref="V15:V25" si="0">IF(M15=0,"Abandono",IF(AVERAGE(G15:M15)&gt;=61,"Aprobado","Reprobado"))</f>
        <v>Abandono</v>
      </c>
    </row>
    <row r="16" spans="1:23" ht="14.25" customHeight="1" x14ac:dyDescent="0.35">
      <c r="B16" s="4"/>
      <c r="C16" s="59">
        <v>3</v>
      </c>
      <c r="D16" s="162" t="str">
        <f>+'COA-301 T'!D15:E15</f>
        <v>Cusi Cruz Ramiro</v>
      </c>
      <c r="E16" s="104"/>
      <c r="F16" s="77" t="s">
        <v>163</v>
      </c>
      <c r="G16" s="48">
        <f>+'COA-301 T'!H15</f>
        <v>0</v>
      </c>
      <c r="H16" s="48">
        <f>+'COC-302 T'!H15</f>
        <v>0</v>
      </c>
      <c r="I16" s="48">
        <f>+'COG-303 T'!H15</f>
        <v>0</v>
      </c>
      <c r="J16" s="48">
        <f>+'CEP-304 T'!H15</f>
        <v>0</v>
      </c>
      <c r="K16" s="48">
        <f>+'CSH-305 T'!H15</f>
        <v>0</v>
      </c>
      <c r="L16" s="48">
        <f>+'GCI-306 T'!H15</f>
        <v>0</v>
      </c>
      <c r="M16" s="48">
        <f>+'AEF-307 T'!H15</f>
        <v>0</v>
      </c>
      <c r="N16" s="48">
        <f>+'TMG-308 T'!H15</f>
        <v>0</v>
      </c>
      <c r="O16" s="42"/>
      <c r="P16" s="42"/>
      <c r="Q16" s="42"/>
      <c r="R16" s="42"/>
      <c r="S16" s="42"/>
      <c r="T16" s="42"/>
      <c r="U16" s="42"/>
      <c r="V16" s="42" t="str">
        <f t="shared" si="0"/>
        <v>Abandono</v>
      </c>
    </row>
    <row r="17" spans="2:22" ht="12" customHeight="1" x14ac:dyDescent="0.35">
      <c r="B17" s="4"/>
      <c r="C17" s="59">
        <v>4</v>
      </c>
      <c r="D17" s="162" t="str">
        <f>+'COA-301 T'!D16:E16</f>
        <v>Diaz Soruco Milenka Ingrid</v>
      </c>
      <c r="E17" s="104"/>
      <c r="F17" s="77">
        <v>6712229</v>
      </c>
      <c r="G17" s="48">
        <f>+'COA-301 T'!H16</f>
        <v>80</v>
      </c>
      <c r="H17" s="48">
        <f>+'COC-302 T'!H16</f>
        <v>91</v>
      </c>
      <c r="I17" s="48">
        <f>+'COG-303 T'!H16</f>
        <v>78</v>
      </c>
      <c r="J17" s="48">
        <f>+'CEP-304 T'!H16</f>
        <v>94</v>
      </c>
      <c r="K17" s="48">
        <f>+'CSH-305 T'!H16</f>
        <v>81</v>
      </c>
      <c r="L17" s="48">
        <f>+'GCI-306 T'!H16</f>
        <v>84</v>
      </c>
      <c r="M17" s="48">
        <f>+'AEF-307 T'!H16</f>
        <v>80</v>
      </c>
      <c r="N17" s="48">
        <f>+'TMG-308 T'!H16</f>
        <v>84</v>
      </c>
      <c r="O17" s="42"/>
      <c r="P17" s="42"/>
      <c r="Q17" s="42"/>
      <c r="R17" s="42"/>
      <c r="S17" s="42"/>
      <c r="T17" s="42"/>
      <c r="U17" s="42"/>
      <c r="V17" s="42" t="str">
        <f t="shared" si="0"/>
        <v>Aprobado</v>
      </c>
    </row>
    <row r="18" spans="2:22" ht="12.75" customHeight="1" x14ac:dyDescent="0.35">
      <c r="B18" s="4"/>
      <c r="C18" s="59">
        <v>5</v>
      </c>
      <c r="D18" s="162" t="str">
        <f>+'COA-301 T'!D17:E17</f>
        <v>Fernandez Choque Karen Carolina</v>
      </c>
      <c r="E18" s="104"/>
      <c r="F18" s="77" t="s">
        <v>164</v>
      </c>
      <c r="G18" s="48">
        <f>+'COA-301 T'!H17</f>
        <v>90</v>
      </c>
      <c r="H18" s="48">
        <f>+'COC-302 T'!H17</f>
        <v>88</v>
      </c>
      <c r="I18" s="48">
        <f>+'COG-303 T'!H17</f>
        <v>90</v>
      </c>
      <c r="J18" s="48">
        <f>+'CEP-304 T'!H17</f>
        <v>92</v>
      </c>
      <c r="K18" s="48">
        <f>+'CSH-305 T'!H17</f>
        <v>87</v>
      </c>
      <c r="L18" s="48">
        <f>+'GCI-306 T'!H17</f>
        <v>93</v>
      </c>
      <c r="M18" s="48">
        <f>+'AEF-307 T'!H17</f>
        <v>90</v>
      </c>
      <c r="N18" s="48">
        <f>+'TMG-308 T'!H17</f>
        <v>92</v>
      </c>
      <c r="O18" s="42"/>
      <c r="P18" s="42"/>
      <c r="Q18" s="42"/>
      <c r="R18" s="42"/>
      <c r="S18" s="42"/>
      <c r="T18" s="42"/>
      <c r="U18" s="42"/>
      <c r="V18" s="42" t="str">
        <f t="shared" si="0"/>
        <v>Aprobado</v>
      </c>
    </row>
    <row r="19" spans="2:22" ht="12" customHeight="1" x14ac:dyDescent="0.35">
      <c r="B19" s="4"/>
      <c r="C19" s="59">
        <v>6</v>
      </c>
      <c r="D19" s="162" t="str">
        <f>+'COA-301 T'!D18:E18</f>
        <v>Flores Condarco Eberth Luis</v>
      </c>
      <c r="E19" s="104"/>
      <c r="F19" s="77" t="s">
        <v>165</v>
      </c>
      <c r="G19" s="48">
        <f>+'COA-301 T'!H18</f>
        <v>63</v>
      </c>
      <c r="H19" s="48">
        <f>+'COC-302 T'!H18</f>
        <v>62</v>
      </c>
      <c r="I19" s="48">
        <f>+'COG-303 T'!H18</f>
        <v>62</v>
      </c>
      <c r="J19" s="48">
        <f>+'CEP-304 T'!H18</f>
        <v>65</v>
      </c>
      <c r="K19" s="48">
        <f>+'CSH-305 T'!H18</f>
        <v>66</v>
      </c>
      <c r="L19" s="48">
        <f>+'GCI-306 T'!H18</f>
        <v>66</v>
      </c>
      <c r="M19" s="48">
        <f>+'AEF-307 T'!H18</f>
        <v>61</v>
      </c>
      <c r="N19" s="48">
        <f>+'TMG-308 T'!H18</f>
        <v>65</v>
      </c>
      <c r="O19" s="42"/>
      <c r="P19" s="42"/>
      <c r="Q19" s="42"/>
      <c r="R19" s="42"/>
      <c r="S19" s="42"/>
      <c r="T19" s="42"/>
      <c r="U19" s="42"/>
      <c r="V19" s="42" t="str">
        <f t="shared" si="0"/>
        <v>Aprobado</v>
      </c>
    </row>
    <row r="20" spans="2:22" ht="14.25" customHeight="1" x14ac:dyDescent="0.35">
      <c r="B20" s="4"/>
      <c r="C20" s="59">
        <v>7</v>
      </c>
      <c r="D20" s="162" t="str">
        <f>+'COA-301 T'!D19:E19</f>
        <v>Guarachi Bolivar Ariel Leonel</v>
      </c>
      <c r="E20" s="104"/>
      <c r="F20" s="77">
        <v>7335226</v>
      </c>
      <c r="G20" s="48">
        <f>+'COA-301 T'!H19</f>
        <v>0</v>
      </c>
      <c r="H20" s="48">
        <f>+'COC-302 T'!H19</f>
        <v>0</v>
      </c>
      <c r="I20" s="48">
        <f>+'COG-303 T'!H19</f>
        <v>0</v>
      </c>
      <c r="J20" s="48">
        <f>+'CEP-304 T'!H19</f>
        <v>0</v>
      </c>
      <c r="K20" s="48">
        <f>+'CSH-305 T'!H19</f>
        <v>0</v>
      </c>
      <c r="L20" s="48">
        <f>+'GCI-306 T'!H19</f>
        <v>0</v>
      </c>
      <c r="M20" s="48">
        <f>+'AEF-307 T'!H19</f>
        <v>0</v>
      </c>
      <c r="N20" s="48">
        <f>+'TMG-308 T'!H19</f>
        <v>0</v>
      </c>
      <c r="O20" s="42"/>
      <c r="P20" s="42"/>
      <c r="Q20" s="42"/>
      <c r="R20" s="42"/>
      <c r="S20" s="42"/>
      <c r="T20" s="42"/>
      <c r="U20" s="42"/>
      <c r="V20" s="42" t="str">
        <f t="shared" si="0"/>
        <v>Abandono</v>
      </c>
    </row>
    <row r="21" spans="2:22" ht="14.25" customHeight="1" x14ac:dyDescent="0.35">
      <c r="B21" s="4"/>
      <c r="C21" s="59">
        <v>8</v>
      </c>
      <c r="D21" s="162" t="str">
        <f>+'COA-301 T'!D20:E20</f>
        <v>Guarachi Bolivar Omar Rodrigo</v>
      </c>
      <c r="E21" s="104"/>
      <c r="F21" s="77" t="s">
        <v>166</v>
      </c>
      <c r="G21" s="48">
        <f>+'COA-301 T'!H20</f>
        <v>0</v>
      </c>
      <c r="H21" s="48">
        <f>+'COC-302 T'!H20</f>
        <v>0</v>
      </c>
      <c r="I21" s="48">
        <f>+'COG-303 T'!H20</f>
        <v>0</v>
      </c>
      <c r="J21" s="48">
        <f>+'CEP-304 T'!H20</f>
        <v>0</v>
      </c>
      <c r="K21" s="48">
        <f>+'CSH-305 T'!H20</f>
        <v>0</v>
      </c>
      <c r="L21" s="48">
        <f>+'GCI-306 T'!H20</f>
        <v>0</v>
      </c>
      <c r="M21" s="48">
        <f>+'AEF-307 T'!H20</f>
        <v>0</v>
      </c>
      <c r="N21" s="48">
        <f>+'TMG-308 T'!H20</f>
        <v>0</v>
      </c>
      <c r="O21" s="42"/>
      <c r="P21" s="42"/>
      <c r="Q21" s="42"/>
      <c r="R21" s="42"/>
      <c r="S21" s="42"/>
      <c r="T21" s="42"/>
      <c r="U21" s="42"/>
      <c r="V21" s="42" t="str">
        <f t="shared" si="0"/>
        <v>Abandono</v>
      </c>
    </row>
    <row r="22" spans="2:22" ht="14.25" customHeight="1" x14ac:dyDescent="0.35">
      <c r="B22" s="4"/>
      <c r="C22" s="59">
        <v>9</v>
      </c>
      <c r="D22" s="162" t="str">
        <f>+'COA-301 T'!D21:E21</f>
        <v>Lazarte Escobar Cristian Fernando</v>
      </c>
      <c r="E22" s="104"/>
      <c r="F22" s="77" t="s">
        <v>167</v>
      </c>
      <c r="G22" s="48">
        <f>+'COA-301 T'!H21</f>
        <v>0</v>
      </c>
      <c r="H22" s="48">
        <f>+'COC-302 T'!H21</f>
        <v>0</v>
      </c>
      <c r="I22" s="48">
        <f>+'COG-303 T'!H21</f>
        <v>0</v>
      </c>
      <c r="J22" s="48">
        <f>+'CEP-304 T'!H21</f>
        <v>0</v>
      </c>
      <c r="K22" s="48">
        <f>+'CSH-305 T'!H21</f>
        <v>0</v>
      </c>
      <c r="L22" s="48">
        <f>+'GCI-306 T'!H21</f>
        <v>0</v>
      </c>
      <c r="M22" s="48">
        <f>+'AEF-307 T'!H21</f>
        <v>0</v>
      </c>
      <c r="N22" s="48">
        <f>+'TMG-308 T'!H21</f>
        <v>0</v>
      </c>
      <c r="O22" s="42"/>
      <c r="P22" s="42"/>
      <c r="Q22" s="42"/>
      <c r="R22" s="42"/>
      <c r="S22" s="42"/>
      <c r="T22" s="42"/>
      <c r="U22" s="42"/>
      <c r="V22" s="42" t="str">
        <f t="shared" si="0"/>
        <v>Abandono</v>
      </c>
    </row>
    <row r="23" spans="2:22" ht="14.25" customHeight="1" x14ac:dyDescent="0.35">
      <c r="B23" s="4"/>
      <c r="C23" s="59">
        <v>10</v>
      </c>
      <c r="D23" s="162" t="str">
        <f>+'COA-301 T'!D22:E22</f>
        <v>Manzano Huanca David Hernan</v>
      </c>
      <c r="E23" s="104"/>
      <c r="F23" s="77" t="s">
        <v>168</v>
      </c>
      <c r="G23" s="48">
        <f>+'COA-301 T'!H22</f>
        <v>94</v>
      </c>
      <c r="H23" s="48">
        <f>+'COC-302 T'!H22</f>
        <v>95</v>
      </c>
      <c r="I23" s="48">
        <f>+'COG-303 T'!H22</f>
        <v>100</v>
      </c>
      <c r="J23" s="48">
        <f>+'CEP-304 T'!H22</f>
        <v>84</v>
      </c>
      <c r="K23" s="48">
        <f>+'CSH-305 T'!H22</f>
        <v>92</v>
      </c>
      <c r="L23" s="48">
        <f>+'GCI-306 T'!H22</f>
        <v>100</v>
      </c>
      <c r="M23" s="48">
        <f>+'AEF-307 T'!H22</f>
        <v>93</v>
      </c>
      <c r="N23" s="48">
        <f>+'TMG-308 T'!H22</f>
        <v>98</v>
      </c>
      <c r="O23" s="42"/>
      <c r="P23" s="42"/>
      <c r="Q23" s="42"/>
      <c r="R23" s="42"/>
      <c r="S23" s="42"/>
      <c r="T23" s="42"/>
      <c r="U23" s="42"/>
      <c r="V23" s="42" t="str">
        <f t="shared" si="0"/>
        <v>Aprobado</v>
      </c>
    </row>
    <row r="24" spans="2:22" ht="14.25" customHeight="1" x14ac:dyDescent="0.35">
      <c r="B24" s="4"/>
      <c r="C24" s="59">
        <v>11</v>
      </c>
      <c r="D24" s="162" t="str">
        <f>+'COA-301 T'!D23:E23</f>
        <v>Salinas Lopez Elvis Alex</v>
      </c>
      <c r="E24" s="104"/>
      <c r="F24" s="77" t="s">
        <v>169</v>
      </c>
      <c r="G24" s="48">
        <f>+'COA-301 T'!H23</f>
        <v>85</v>
      </c>
      <c r="H24" s="48">
        <f>+'COC-302 T'!H23</f>
        <v>83</v>
      </c>
      <c r="I24" s="48">
        <f>+'COG-303 T'!H23</f>
        <v>85</v>
      </c>
      <c r="J24" s="48">
        <f>+'CEP-304 T'!H23</f>
        <v>87</v>
      </c>
      <c r="K24" s="48">
        <f>+'CSH-305 T'!H23</f>
        <v>81</v>
      </c>
      <c r="L24" s="48">
        <f>+'GCI-306 T'!H23</f>
        <v>88</v>
      </c>
      <c r="M24" s="48">
        <f>+'AEF-307 T'!H23</f>
        <v>85</v>
      </c>
      <c r="N24" s="48">
        <f>+'TMG-308 T'!H23</f>
        <v>83</v>
      </c>
      <c r="O24" s="42"/>
      <c r="P24" s="42"/>
      <c r="Q24" s="42"/>
      <c r="R24" s="42"/>
      <c r="S24" s="42"/>
      <c r="T24" s="42"/>
      <c r="U24" s="42"/>
      <c r="V24" s="42" t="str">
        <f t="shared" si="0"/>
        <v>Aprobado</v>
      </c>
    </row>
    <row r="25" spans="2:22" ht="14.25" customHeight="1" x14ac:dyDescent="0.35">
      <c r="B25" s="4"/>
      <c r="C25" s="59">
        <v>12</v>
      </c>
      <c r="D25" s="162" t="str">
        <f>+'COA-301 T'!D24:E24</f>
        <v>Tellez Ledo Axel Jairo</v>
      </c>
      <c r="E25" s="104"/>
      <c r="F25" s="77" t="s">
        <v>170</v>
      </c>
      <c r="G25" s="48">
        <v>61</v>
      </c>
      <c r="H25" s="48">
        <f>+'COC-302 T'!H24</f>
        <v>69</v>
      </c>
      <c r="I25" s="48">
        <v>61</v>
      </c>
      <c r="J25" s="48">
        <f>+'CEP-304 T'!H24</f>
        <v>73</v>
      </c>
      <c r="K25" s="48">
        <f>+'CSH-305 T'!H24</f>
        <v>70</v>
      </c>
      <c r="L25" s="48">
        <f>+'GCI-306 T'!H24</f>
        <v>66</v>
      </c>
      <c r="M25" s="48">
        <v>61</v>
      </c>
      <c r="N25" s="48">
        <f>+'TMG-308 T'!H24</f>
        <v>68</v>
      </c>
      <c r="O25" s="42"/>
      <c r="P25" s="42"/>
      <c r="Q25" s="42"/>
      <c r="R25" s="42"/>
      <c r="S25" s="42"/>
      <c r="T25" s="42"/>
      <c r="U25" s="42"/>
      <c r="V25" s="42" t="str">
        <f t="shared" si="0"/>
        <v>Aprobado</v>
      </c>
    </row>
    <row r="26" spans="2:22" ht="14.25" customHeight="1" x14ac:dyDescent="0.35">
      <c r="B26" s="4"/>
      <c r="C26" s="59"/>
      <c r="D26" s="162"/>
      <c r="E26" s="104"/>
      <c r="F26" s="77"/>
      <c r="G26" s="48"/>
      <c r="H26" s="48"/>
      <c r="I26" s="48"/>
      <c r="J26" s="48"/>
      <c r="K26" s="48"/>
      <c r="L26" s="48"/>
      <c r="M26" s="48"/>
      <c r="N26" s="48"/>
      <c r="O26" s="42"/>
      <c r="P26" s="42"/>
      <c r="Q26" s="42"/>
      <c r="R26" s="42"/>
      <c r="S26" s="42"/>
      <c r="T26" s="42"/>
      <c r="U26" s="42"/>
      <c r="V26" s="42"/>
    </row>
    <row r="27" spans="2:22" ht="14.25" customHeight="1" x14ac:dyDescent="0.35">
      <c r="B27" s="4"/>
      <c r="C27" s="59"/>
      <c r="D27" s="162"/>
      <c r="E27" s="104"/>
      <c r="F27" s="56"/>
      <c r="G27" s="48"/>
      <c r="H27" s="48"/>
      <c r="I27" s="48"/>
      <c r="J27" s="48"/>
      <c r="K27" s="48"/>
      <c r="L27" s="48"/>
      <c r="M27" s="48"/>
      <c r="N27" s="48"/>
      <c r="O27" s="42"/>
      <c r="P27" s="42"/>
      <c r="Q27" s="42"/>
      <c r="R27" s="42"/>
      <c r="S27" s="42"/>
      <c r="T27" s="42"/>
      <c r="U27" s="42"/>
      <c r="V27" s="42"/>
    </row>
    <row r="28" spans="2:22" ht="14.25" customHeight="1" x14ac:dyDescent="0.35">
      <c r="B28" s="4"/>
      <c r="C28" s="59"/>
      <c r="D28" s="162"/>
      <c r="E28" s="104"/>
      <c r="F28" s="56"/>
      <c r="G28" s="48"/>
      <c r="H28" s="48"/>
      <c r="I28" s="48"/>
      <c r="J28" s="48"/>
      <c r="K28" s="48"/>
      <c r="L28" s="48"/>
      <c r="M28" s="48"/>
      <c r="N28" s="48"/>
      <c r="O28" s="42"/>
      <c r="P28" s="42"/>
      <c r="Q28" s="42"/>
      <c r="R28" s="42"/>
      <c r="S28" s="42"/>
      <c r="T28" s="42"/>
      <c r="U28" s="42"/>
      <c r="V28" s="42"/>
    </row>
    <row r="29" spans="2:22" ht="14.25" customHeight="1" x14ac:dyDescent="0.35">
      <c r="B29" s="4"/>
      <c r="C29" s="59"/>
      <c r="D29" s="162"/>
      <c r="E29" s="104"/>
      <c r="F29" s="56"/>
      <c r="G29" s="48"/>
      <c r="H29" s="48"/>
      <c r="I29" s="48"/>
      <c r="J29" s="48"/>
      <c r="K29" s="48"/>
      <c r="L29" s="48"/>
      <c r="M29" s="48"/>
      <c r="N29" s="48"/>
      <c r="O29" s="42"/>
      <c r="P29" s="42"/>
      <c r="Q29" s="42"/>
      <c r="R29" s="42"/>
      <c r="S29" s="42"/>
      <c r="T29" s="42"/>
      <c r="U29" s="42"/>
      <c r="V29" s="42"/>
    </row>
    <row r="30" spans="2:22" ht="14.25" customHeight="1" x14ac:dyDescent="0.35">
      <c r="B30" s="4"/>
      <c r="C30" s="59"/>
      <c r="D30" s="162"/>
      <c r="E30" s="104"/>
      <c r="F30" s="56"/>
      <c r="G30" s="48"/>
      <c r="H30" s="48"/>
      <c r="I30" s="48"/>
      <c r="J30" s="48"/>
      <c r="K30" s="48"/>
      <c r="L30" s="48"/>
      <c r="M30" s="48"/>
      <c r="N30" s="48"/>
      <c r="O30" s="42"/>
      <c r="P30" s="42"/>
      <c r="Q30" s="42"/>
      <c r="R30" s="42"/>
      <c r="S30" s="42"/>
      <c r="T30" s="42"/>
      <c r="U30" s="42"/>
      <c r="V30" s="42"/>
    </row>
    <row r="31" spans="2:22" ht="12.75" customHeight="1" x14ac:dyDescent="0.35">
      <c r="B31" s="4"/>
      <c r="C31" s="59"/>
      <c r="D31" s="162"/>
      <c r="E31" s="104"/>
      <c r="F31" s="56"/>
      <c r="G31" s="48"/>
      <c r="H31" s="48"/>
      <c r="I31" s="48"/>
      <c r="J31" s="48"/>
      <c r="K31" s="48"/>
      <c r="L31" s="48"/>
      <c r="M31" s="48"/>
      <c r="N31" s="48"/>
      <c r="O31" s="42"/>
      <c r="P31" s="42"/>
      <c r="Q31" s="42"/>
      <c r="R31" s="42"/>
      <c r="S31" s="42"/>
      <c r="T31" s="42"/>
      <c r="U31" s="42"/>
      <c r="V31" s="42"/>
    </row>
    <row r="32" spans="2:22" ht="14.25" customHeight="1" x14ac:dyDescent="0.35">
      <c r="B32" s="4"/>
      <c r="C32" s="59"/>
      <c r="D32" s="162"/>
      <c r="E32" s="104"/>
      <c r="F32" s="56"/>
      <c r="G32" s="48"/>
      <c r="H32" s="48"/>
      <c r="I32" s="48"/>
      <c r="J32" s="48"/>
      <c r="K32" s="48"/>
      <c r="L32" s="48"/>
      <c r="M32" s="48"/>
      <c r="N32" s="48"/>
      <c r="O32" s="42"/>
      <c r="P32" s="42"/>
      <c r="Q32" s="42"/>
      <c r="R32" s="42"/>
      <c r="S32" s="42"/>
      <c r="T32" s="42"/>
      <c r="U32" s="42"/>
      <c r="V32" s="42"/>
    </row>
    <row r="33" spans="2:22" ht="12.75" customHeight="1" x14ac:dyDescent="0.35">
      <c r="B33" s="4"/>
      <c r="C33" s="59"/>
      <c r="D33" s="162"/>
      <c r="E33" s="104"/>
      <c r="F33" s="56"/>
      <c r="G33" s="48"/>
      <c r="H33" s="48"/>
      <c r="I33" s="48"/>
      <c r="J33" s="48"/>
      <c r="K33" s="48"/>
      <c r="L33" s="48"/>
      <c r="M33" s="48"/>
      <c r="N33" s="48"/>
      <c r="O33" s="42"/>
      <c r="P33" s="42"/>
      <c r="Q33" s="42"/>
      <c r="R33" s="42"/>
      <c r="S33" s="42"/>
      <c r="T33" s="42"/>
      <c r="U33" s="42"/>
      <c r="V33" s="42"/>
    </row>
    <row r="34" spans="2:22" ht="12.75" customHeight="1" x14ac:dyDescent="0.35">
      <c r="B34" s="4"/>
      <c r="C34" s="59"/>
      <c r="D34" s="162"/>
      <c r="E34" s="104"/>
      <c r="F34" s="56"/>
      <c r="G34" s="48"/>
      <c r="H34" s="48"/>
      <c r="I34" s="48"/>
      <c r="J34" s="48"/>
      <c r="K34" s="48"/>
      <c r="L34" s="48"/>
      <c r="M34" s="48"/>
      <c r="N34" s="48"/>
      <c r="O34" s="42"/>
      <c r="P34" s="42"/>
      <c r="Q34" s="42"/>
      <c r="R34" s="42"/>
      <c r="S34" s="42"/>
      <c r="T34" s="42"/>
      <c r="U34" s="42"/>
      <c r="V34" s="42"/>
    </row>
    <row r="35" spans="2:22" ht="12.75" customHeight="1" x14ac:dyDescent="0.35">
      <c r="B35" s="4"/>
      <c r="C35" s="59"/>
      <c r="D35" s="162"/>
      <c r="E35" s="104"/>
      <c r="F35" s="56"/>
      <c r="G35" s="48"/>
      <c r="H35" s="48"/>
      <c r="I35" s="48"/>
      <c r="J35" s="48"/>
      <c r="K35" s="48"/>
      <c r="L35" s="48"/>
      <c r="M35" s="48"/>
      <c r="N35" s="48"/>
      <c r="O35" s="42"/>
      <c r="P35" s="42"/>
      <c r="Q35" s="42"/>
      <c r="R35" s="42"/>
      <c r="S35" s="42"/>
      <c r="T35" s="42"/>
      <c r="U35" s="42"/>
      <c r="V35" s="42"/>
    </row>
    <row r="36" spans="2:22" ht="14.25" customHeight="1" x14ac:dyDescent="0.35">
      <c r="B36" s="4"/>
      <c r="C36" s="59"/>
      <c r="D36" s="162"/>
      <c r="E36" s="104"/>
      <c r="F36" s="58"/>
      <c r="G36" s="48"/>
      <c r="H36" s="48"/>
      <c r="I36" s="48"/>
      <c r="J36" s="48"/>
      <c r="K36" s="48"/>
      <c r="L36" s="48"/>
      <c r="M36" s="48"/>
      <c r="N36" s="48"/>
      <c r="O36" s="42"/>
      <c r="P36" s="42"/>
      <c r="Q36" s="42"/>
      <c r="R36" s="42"/>
      <c r="S36" s="42"/>
      <c r="T36" s="42"/>
      <c r="U36" s="42"/>
      <c r="V36" s="42"/>
    </row>
    <row r="37" spans="2:22" ht="15" customHeight="1" x14ac:dyDescent="0.35">
      <c r="B37" s="4"/>
      <c r="C37" s="59"/>
      <c r="D37" s="104"/>
      <c r="E37" s="104"/>
      <c r="F37" s="56"/>
      <c r="G37" s="48"/>
      <c r="H37" s="48"/>
      <c r="I37" s="48"/>
      <c r="J37" s="48"/>
      <c r="K37" s="48"/>
      <c r="L37" s="48"/>
      <c r="M37" s="48"/>
      <c r="N37" s="48"/>
      <c r="O37" s="42"/>
      <c r="P37" s="42"/>
      <c r="Q37" s="42"/>
      <c r="R37" s="42"/>
      <c r="S37" s="42"/>
      <c r="T37" s="42"/>
      <c r="U37" s="42"/>
      <c r="V37" s="42"/>
    </row>
    <row r="38" spans="2:22" ht="14.25" customHeight="1" x14ac:dyDescent="0.35">
      <c r="B38" s="4"/>
      <c r="C38" s="59"/>
      <c r="D38" s="104"/>
      <c r="E38" s="104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2:22" ht="13.5" customHeight="1" x14ac:dyDescent="0.35">
      <c r="B39" s="4"/>
      <c r="C39" s="43"/>
      <c r="D39" s="104"/>
      <c r="E39" s="104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2:22" ht="12" customHeight="1" x14ac:dyDescent="0.35">
      <c r="B40" s="4"/>
      <c r="C40" s="43"/>
      <c r="D40" s="104"/>
      <c r="E40" s="104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2:22" ht="12" customHeight="1" x14ac:dyDescent="0.35">
      <c r="B41" s="4"/>
      <c r="C41" s="43"/>
      <c r="D41" s="104"/>
      <c r="E41" s="104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2:22" ht="12" customHeight="1" x14ac:dyDescent="0.35">
      <c r="B42" s="4"/>
      <c r="C42" s="43"/>
      <c r="D42" s="104"/>
      <c r="E42" s="10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2:22" ht="12" customHeight="1" x14ac:dyDescent="0.35">
      <c r="B43" s="4"/>
      <c r="C43" s="43"/>
      <c r="D43" s="104"/>
      <c r="E43" s="10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2:22" x14ac:dyDescent="0.35">
      <c r="B44" s="4"/>
      <c r="C44" s="41" t="s">
        <v>14</v>
      </c>
    </row>
    <row r="45" spans="2:22" x14ac:dyDescent="0.35">
      <c r="B45" s="4"/>
      <c r="C45" s="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2:22" x14ac:dyDescent="0.35">
      <c r="B46" s="4"/>
      <c r="C46" s="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2:22" x14ac:dyDescent="0.35">
      <c r="B47" s="4"/>
      <c r="C47" s="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2:22" x14ac:dyDescent="0.35">
      <c r="B48" s="4"/>
      <c r="C48" s="4"/>
      <c r="D48" s="14"/>
      <c r="E48" s="102" t="s">
        <v>91</v>
      </c>
      <c r="F48" s="102"/>
      <c r="G48" s="102"/>
      <c r="H48" s="102" t="s">
        <v>86</v>
      </c>
      <c r="I48" s="102"/>
      <c r="J48" s="14"/>
      <c r="K48" s="102" t="s">
        <v>91</v>
      </c>
      <c r="L48" s="102"/>
      <c r="M48" s="102"/>
      <c r="N48" s="14"/>
      <c r="O48" s="14"/>
      <c r="P48" s="103"/>
      <c r="Q48" s="103"/>
      <c r="R48" s="103"/>
      <c r="S48" s="14"/>
      <c r="T48" s="14"/>
      <c r="U48" s="14"/>
      <c r="V48" s="14"/>
    </row>
    <row r="49" spans="2:22" x14ac:dyDescent="0.35">
      <c r="B49" s="4"/>
      <c r="C49" s="4"/>
      <c r="D49" s="14"/>
      <c r="E49" s="102" t="s">
        <v>87</v>
      </c>
      <c r="F49" s="102"/>
      <c r="G49" s="102"/>
      <c r="H49" s="102" t="s">
        <v>89</v>
      </c>
      <c r="I49" s="102"/>
      <c r="J49" s="14"/>
      <c r="K49" s="102" t="s">
        <v>101</v>
      </c>
      <c r="L49" s="102"/>
      <c r="M49" s="102"/>
      <c r="N49" s="14"/>
      <c r="O49" s="14"/>
      <c r="P49" s="14"/>
      <c r="Q49" s="14"/>
      <c r="R49" s="14"/>
      <c r="S49" s="14"/>
      <c r="T49" s="14"/>
      <c r="U49" s="14"/>
      <c r="V49" s="14"/>
    </row>
    <row r="50" spans="2:22" ht="15.5" x14ac:dyDescent="0.35">
      <c r="B50" s="4"/>
      <c r="C50" s="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96" t="s">
        <v>69</v>
      </c>
      <c r="P50" s="96"/>
      <c r="Q50" s="96"/>
      <c r="R50" s="96"/>
      <c r="S50" s="96"/>
      <c r="T50" s="96"/>
      <c r="U50" s="96"/>
      <c r="V50" s="14"/>
    </row>
    <row r="51" spans="2:22" x14ac:dyDescent="0.35">
      <c r="B51" s="4"/>
      <c r="C51" s="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97" t="s">
        <v>70</v>
      </c>
      <c r="P51" s="97"/>
      <c r="Q51" s="98" t="s">
        <v>188</v>
      </c>
      <c r="R51" s="98"/>
      <c r="S51" s="98"/>
      <c r="T51" s="98"/>
      <c r="U51" s="98"/>
      <c r="V51" s="14"/>
    </row>
    <row r="52" spans="2:22" x14ac:dyDescent="0.35">
      <c r="B52" s="4"/>
      <c r="C52" s="4"/>
      <c r="D52" s="4"/>
      <c r="E52" s="4"/>
      <c r="F52" s="4"/>
      <c r="G52" s="4"/>
      <c r="H52" s="4"/>
      <c r="I52" s="14"/>
      <c r="J52" s="14"/>
      <c r="K52" s="14"/>
      <c r="L52" s="14"/>
      <c r="M52" s="14"/>
      <c r="N52" s="14"/>
      <c r="O52" s="97" t="s">
        <v>71</v>
      </c>
      <c r="P52" s="97"/>
      <c r="Q52" s="98" t="s">
        <v>189</v>
      </c>
      <c r="R52" s="98"/>
      <c r="S52" s="98"/>
      <c r="T52" s="98"/>
      <c r="U52" s="98"/>
      <c r="V52" s="14"/>
    </row>
    <row r="53" spans="2:22" ht="30.75" customHeight="1" x14ac:dyDescent="0.35">
      <c r="B53" s="4"/>
      <c r="C53" s="4"/>
      <c r="D53" s="99" t="s">
        <v>10</v>
      </c>
      <c r="E53" s="99"/>
      <c r="F53" s="99"/>
      <c r="G53" s="51" t="s">
        <v>99</v>
      </c>
      <c r="H53" s="51" t="s">
        <v>100</v>
      </c>
      <c r="I53" s="14"/>
      <c r="J53" s="14"/>
      <c r="K53" s="14"/>
      <c r="L53" s="14"/>
      <c r="M53" s="14"/>
      <c r="N53" s="14"/>
      <c r="O53" s="97" t="s">
        <v>72</v>
      </c>
      <c r="P53" s="97"/>
      <c r="Q53" s="100"/>
      <c r="R53" s="100"/>
      <c r="S53" s="100"/>
      <c r="T53" s="100"/>
      <c r="U53" s="100"/>
      <c r="V53" s="14"/>
    </row>
    <row r="54" spans="2:22" x14ac:dyDescent="0.35">
      <c r="B54" s="4"/>
      <c r="C54" s="4"/>
      <c r="D54" s="95" t="s">
        <v>11</v>
      </c>
      <c r="E54" s="95"/>
      <c r="F54" s="95"/>
      <c r="G54" s="40">
        <f>COUNT(C14:C41)</f>
        <v>12</v>
      </c>
      <c r="H54" s="44">
        <v>1</v>
      </c>
      <c r="I54" s="14"/>
      <c r="J54" s="14"/>
      <c r="K54" s="14"/>
      <c r="L54" s="14"/>
      <c r="M54" s="14"/>
      <c r="N54" s="14"/>
      <c r="O54" s="97" t="s">
        <v>73</v>
      </c>
      <c r="P54" s="97"/>
      <c r="Q54" s="101" t="s">
        <v>228</v>
      </c>
      <c r="R54" s="98"/>
      <c r="S54" s="98"/>
      <c r="T54" s="98"/>
      <c r="U54" s="98"/>
      <c r="V54" s="14"/>
    </row>
    <row r="55" spans="2:22" x14ac:dyDescent="0.35">
      <c r="B55" s="4"/>
      <c r="C55" s="4"/>
      <c r="D55" s="95" t="s">
        <v>12</v>
      </c>
      <c r="E55" s="95"/>
      <c r="F55" s="95"/>
      <c r="G55" s="40">
        <f>COUNTIF(V14:V43,"Aprobado")</f>
        <v>6</v>
      </c>
      <c r="H55" s="45">
        <f>(G55*H54)/G54</f>
        <v>0.5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2:22" x14ac:dyDescent="0.35">
      <c r="B56" s="4"/>
      <c r="C56" s="4"/>
      <c r="D56" s="95" t="s">
        <v>13</v>
      </c>
      <c r="E56" s="95"/>
      <c r="F56" s="95"/>
      <c r="G56" s="40">
        <f>COUNTIF(V14:V43,"Reprobado")</f>
        <v>0</v>
      </c>
      <c r="H56" s="45">
        <f>(G56*H54)/G54</f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2:22" ht="16.5" customHeight="1" x14ac:dyDescent="0.35">
      <c r="B57" s="4"/>
      <c r="C57" s="4"/>
      <c r="D57" s="95" t="s">
        <v>9</v>
      </c>
      <c r="E57" s="95"/>
      <c r="F57" s="95"/>
      <c r="G57" s="40">
        <f>COUNTIF(V14:V43,"Abandono")</f>
        <v>6</v>
      </c>
      <c r="H57" s="45">
        <f>(G57*H54)/G54</f>
        <v>0.5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2:22" ht="16.5" customHeight="1" x14ac:dyDescent="0.35">
      <c r="G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2:22" ht="14.25" customHeight="1" x14ac:dyDescent="0.35"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2:22" ht="15" customHeight="1" x14ac:dyDescent="0.35">
      <c r="N60" s="14"/>
      <c r="O60" s="14"/>
      <c r="P60" s="14"/>
      <c r="Q60" s="14"/>
      <c r="R60" s="14"/>
      <c r="S60" s="14"/>
      <c r="T60" s="14"/>
      <c r="U60" s="14"/>
      <c r="V60" s="14"/>
    </row>
  </sheetData>
  <mergeCells count="83">
    <mergeCell ref="C6:D6"/>
    <mergeCell ref="E6:O6"/>
    <mergeCell ref="S6:T6"/>
    <mergeCell ref="A1:B4"/>
    <mergeCell ref="S1:U1"/>
    <mergeCell ref="U2:V3"/>
    <mergeCell ref="F3:T4"/>
    <mergeCell ref="S5:T5"/>
    <mergeCell ref="E7:E8"/>
    <mergeCell ref="F7:F13"/>
    <mergeCell ref="V7:V13"/>
    <mergeCell ref="G8:G13"/>
    <mergeCell ref="H8:H13"/>
    <mergeCell ref="I8:I13"/>
    <mergeCell ref="J8:J13"/>
    <mergeCell ref="K8:K13"/>
    <mergeCell ref="L8:L13"/>
    <mergeCell ref="D19:E19"/>
    <mergeCell ref="S8:S13"/>
    <mergeCell ref="T8:T13"/>
    <mergeCell ref="U8:U13"/>
    <mergeCell ref="C9:D9"/>
    <mergeCell ref="C10:D10"/>
    <mergeCell ref="C11:D11"/>
    <mergeCell ref="C12:D12"/>
    <mergeCell ref="D13:E13"/>
    <mergeCell ref="M8:M13"/>
    <mergeCell ref="N8:N13"/>
    <mergeCell ref="O8:O13"/>
    <mergeCell ref="P8:P13"/>
    <mergeCell ref="Q8:Q13"/>
    <mergeCell ref="R8:R13"/>
    <mergeCell ref="C7:D8"/>
    <mergeCell ref="D14:E14"/>
    <mergeCell ref="D15:E15"/>
    <mergeCell ref="D16:E16"/>
    <mergeCell ref="D17:E17"/>
    <mergeCell ref="D18:E18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43:E43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E48:G48"/>
    <mergeCell ref="H48:I48"/>
    <mergeCell ref="K48:M48"/>
    <mergeCell ref="P48:R48"/>
    <mergeCell ref="E49:G49"/>
    <mergeCell ref="H49:I49"/>
    <mergeCell ref="K49:M49"/>
    <mergeCell ref="D57:F57"/>
    <mergeCell ref="O50:U50"/>
    <mergeCell ref="O51:P51"/>
    <mergeCell ref="Q51:U51"/>
    <mergeCell ref="O52:P52"/>
    <mergeCell ref="Q52:U52"/>
    <mergeCell ref="D53:F53"/>
    <mergeCell ref="O53:P53"/>
    <mergeCell ref="Q53:U53"/>
    <mergeCell ref="D54:F54"/>
    <mergeCell ref="O54:P54"/>
    <mergeCell ref="Q54:U54"/>
    <mergeCell ref="D55:F55"/>
    <mergeCell ref="D56:F56"/>
  </mergeCells>
  <pageMargins left="0.47244094488188981" right="0.59055118110236227" top="0.35433070866141736" bottom="0.35433070866141736" header="0.31496062992125984" footer="0.31496062992125984"/>
  <pageSetup scale="6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[1]Lista!#REF!</xm:f>
          </x14:formula1>
          <xm:sqref>E9</xm:sqref>
        </x14:dataValidation>
        <x14:dataValidation type="list" allowBlank="1" showInputMessage="1" showErrorMessage="1">
          <x14:formula1>
            <xm:f>[1]Lista!#REF!</xm:f>
          </x14:formula1>
          <xm:sqref>E11</xm:sqref>
        </x14:dataValidation>
        <x14:dataValidation type="list" allowBlank="1" showInputMessage="1" showErrorMessage="1">
          <x14:formula1>
            <xm:f>[1]Lista!#REF!</xm:f>
          </x14:formula1>
          <xm:sqref>U6:V6</xm:sqref>
        </x14:dataValidation>
        <x14:dataValidation type="list" allowBlank="1" showInputMessage="1" showErrorMessage="1">
          <x14:formula1>
            <xm:f>'[1]LISTA 2'!#REF!</xm:f>
          </x14:formula1>
          <xm:sqref>E6:O6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5" sqref="I5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+'COA-301'!E8:H8</f>
        <v>CONTABILIDAD AGROPECUARIA</v>
      </c>
      <c r="F8" s="134"/>
      <c r="G8" s="134"/>
      <c r="H8" s="135"/>
      <c r="I8" s="27" t="s">
        <v>80</v>
      </c>
      <c r="J8" s="132" t="str">
        <f>+'COA-301'!J8:K8</f>
        <v>COA-301</v>
      </c>
      <c r="K8" s="136"/>
    </row>
    <row r="9" spans="1:11" x14ac:dyDescent="0.35">
      <c r="D9" s="27" t="s">
        <v>78</v>
      </c>
      <c r="E9" s="133" t="s">
        <v>157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4" t="s">
        <v>191</v>
      </c>
      <c r="E13" s="165"/>
      <c r="F13" s="32">
        <v>0</v>
      </c>
      <c r="G13" s="32">
        <v>0</v>
      </c>
      <c r="H13" s="35">
        <f>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64" t="s">
        <v>192</v>
      </c>
      <c r="E14" s="165"/>
      <c r="F14" s="32">
        <v>0</v>
      </c>
      <c r="G14" s="32">
        <v>0</v>
      </c>
      <c r="H14" s="35">
        <f t="shared" ref="H14:H24" si="0">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64" t="s">
        <v>193</v>
      </c>
      <c r="E15" s="165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64" t="s">
        <v>194</v>
      </c>
      <c r="E16" s="165"/>
      <c r="F16" s="32">
        <v>20</v>
      </c>
      <c r="G16" s="32">
        <v>60</v>
      </c>
      <c r="H16" s="35">
        <f t="shared" si="0"/>
        <v>80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4" t="s">
        <v>195</v>
      </c>
      <c r="E17" s="165"/>
      <c r="F17" s="32">
        <v>30</v>
      </c>
      <c r="G17" s="32">
        <v>60</v>
      </c>
      <c r="H17" s="35">
        <f t="shared" si="0"/>
        <v>90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64" t="s">
        <v>196</v>
      </c>
      <c r="E18" s="165"/>
      <c r="F18" s="32">
        <v>18</v>
      </c>
      <c r="G18" s="32">
        <v>45</v>
      </c>
      <c r="H18" s="35">
        <f t="shared" si="0"/>
        <v>63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4" t="s">
        <v>197</v>
      </c>
      <c r="E19" s="165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4" t="s">
        <v>198</v>
      </c>
      <c r="E20" s="165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4" t="s">
        <v>199</v>
      </c>
      <c r="E21" s="165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64" t="s">
        <v>200</v>
      </c>
      <c r="E22" s="165"/>
      <c r="F22" s="32">
        <v>27</v>
      </c>
      <c r="G22" s="32">
        <v>67</v>
      </c>
      <c r="H22" s="35">
        <f t="shared" si="0"/>
        <v>94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4" t="s">
        <v>201</v>
      </c>
      <c r="E23" s="165"/>
      <c r="F23" s="32">
        <v>30</v>
      </c>
      <c r="G23" s="32">
        <v>55</v>
      </c>
      <c r="H23" s="35">
        <f t="shared" si="0"/>
        <v>85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4" t="s">
        <v>202</v>
      </c>
      <c r="E24" s="165"/>
      <c r="F24" s="32">
        <v>10</v>
      </c>
      <c r="G24" s="32">
        <v>35</v>
      </c>
      <c r="H24" s="35">
        <f t="shared" si="0"/>
        <v>45</v>
      </c>
      <c r="I24" s="32">
        <v>61</v>
      </c>
      <c r="J24" s="127" t="str">
        <f t="shared" si="1"/>
        <v>Aprobado</v>
      </c>
      <c r="K24" s="128"/>
    </row>
    <row r="25" spans="3:11" ht="12.75" customHeight="1" x14ac:dyDescent="0.35">
      <c r="C25" s="30"/>
      <c r="D25" s="166"/>
      <c r="E25" s="167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25"/>
      <c r="E26" s="126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25"/>
      <c r="E27" s="126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25"/>
      <c r="E28" s="126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25"/>
      <c r="E29" s="126"/>
      <c r="F29" s="32"/>
      <c r="G29" s="32"/>
      <c r="H29" s="35"/>
      <c r="I29" s="32"/>
      <c r="J29" s="127"/>
      <c r="K29" s="128"/>
    </row>
    <row r="30" spans="3:11" x14ac:dyDescent="0.35">
      <c r="C30" s="30"/>
      <c r="D30" s="125"/>
      <c r="E30" s="126"/>
      <c r="F30" s="32"/>
      <c r="G30" s="32"/>
      <c r="H30" s="35"/>
      <c r="I30" s="32"/>
      <c r="J30" s="127"/>
      <c r="K30" s="128"/>
    </row>
    <row r="31" spans="3:11" x14ac:dyDescent="0.35">
      <c r="C31" s="30"/>
      <c r="D31" s="125"/>
      <c r="E31" s="126"/>
      <c r="F31" s="32"/>
      <c r="G31" s="32"/>
      <c r="H31" s="35"/>
      <c r="I31" s="32"/>
      <c r="J31" s="127"/>
      <c r="K31" s="128"/>
    </row>
    <row r="32" spans="3:11" x14ac:dyDescent="0.35">
      <c r="C32" s="30"/>
      <c r="D32" s="125"/>
      <c r="E32" s="126"/>
      <c r="F32" s="32"/>
      <c r="G32" s="32"/>
      <c r="H32" s="35"/>
      <c r="I32" s="32"/>
      <c r="J32" s="127"/>
      <c r="K32" s="128"/>
    </row>
    <row r="33" spans="3:11" x14ac:dyDescent="0.35">
      <c r="C33" s="30"/>
      <c r="D33" s="125"/>
      <c r="E33" s="126"/>
      <c r="F33" s="32"/>
      <c r="G33" s="32"/>
      <c r="H33" s="35"/>
      <c r="I33" s="32"/>
      <c r="J33" s="127"/>
      <c r="K33" s="128"/>
    </row>
    <row r="34" spans="3:11" x14ac:dyDescent="0.35">
      <c r="C34" s="30"/>
      <c r="D34" s="125"/>
      <c r="E34" s="126"/>
      <c r="F34" s="32"/>
      <c r="G34" s="32"/>
      <c r="H34" s="35"/>
      <c r="I34" s="32"/>
      <c r="J34" s="127"/>
      <c r="K34" s="128"/>
    </row>
    <row r="35" spans="3:11" x14ac:dyDescent="0.35">
      <c r="C35" s="30"/>
      <c r="D35" s="146"/>
      <c r="E35" s="147"/>
      <c r="F35" s="32"/>
      <c r="G35" s="32"/>
      <c r="H35" s="35"/>
      <c r="I35" s="32"/>
      <c r="J35" s="127"/>
      <c r="K35" s="128"/>
    </row>
    <row r="36" spans="3:11" x14ac:dyDescent="0.35">
      <c r="C36" s="30"/>
      <c r="D36" s="125"/>
      <c r="E36" s="126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6" sqref="I1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7265625" customWidth="1"/>
    <col min="6" max="6" width="8" customWidth="1"/>
    <col min="7" max="7" width="8.81640625" customWidth="1"/>
    <col min="8" max="8" width="9.7265625" customWidth="1"/>
    <col min="9" max="9" width="10.36328125" customWidth="1"/>
    <col min="10" max="10" width="6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+'COC-302'!E8:H8</f>
        <v>CONTABILIDAD DE COSTOS II</v>
      </c>
      <c r="F8" s="134"/>
      <c r="G8" s="134"/>
      <c r="H8" s="135"/>
      <c r="I8" s="27" t="s">
        <v>80</v>
      </c>
      <c r="J8" s="132" t="str">
        <f>+'COC-302'!J8:K8</f>
        <v>COC-302</v>
      </c>
      <c r="K8" s="136"/>
    </row>
    <row r="9" spans="1:11" x14ac:dyDescent="0.35">
      <c r="D9" s="27" t="s">
        <v>78</v>
      </c>
      <c r="E9" s="133" t="s">
        <v>155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T'!D13:E13</f>
        <v>Choque Choque Eneida</v>
      </c>
      <c r="E13" s="16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68" t="str">
        <f>+'COA-301 T'!D14:E14</f>
        <v>Condori Felipez Nahely</v>
      </c>
      <c r="E14" s="16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68" t="str">
        <f>+'COA-301 T'!D15:E15</f>
        <v>Cusi Cruz Ramiro</v>
      </c>
      <c r="E15" s="16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68" t="str">
        <f>+'COA-301 T'!D16:E16</f>
        <v>Diaz Soruco Milenka Ingrid</v>
      </c>
      <c r="E16" s="168"/>
      <c r="F16" s="32">
        <v>28</v>
      </c>
      <c r="G16" s="32">
        <v>63</v>
      </c>
      <c r="H16" s="35">
        <f t="shared" si="0"/>
        <v>91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T'!D17:E17</f>
        <v>Fernandez Choque Karen Carolina</v>
      </c>
      <c r="E17" s="168"/>
      <c r="F17" s="32">
        <v>28</v>
      </c>
      <c r="G17" s="32">
        <v>60</v>
      </c>
      <c r="H17" s="35">
        <f t="shared" si="0"/>
        <v>88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68" t="str">
        <f>+'COA-301 T'!D18:E18</f>
        <v>Flores Condarco Eberth Luis</v>
      </c>
      <c r="E18" s="168"/>
      <c r="F18" s="32">
        <v>20</v>
      </c>
      <c r="G18" s="32">
        <v>42</v>
      </c>
      <c r="H18" s="35">
        <f t="shared" si="0"/>
        <v>62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T'!D19:E19</f>
        <v>Guarachi Bolivar Ariel Leonel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T'!D20:E20</f>
        <v>Guarachi Bolivar Omar Rodrigo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T'!D21:E21</f>
        <v>Lazarte Escobar Cristian Fernando</v>
      </c>
      <c r="E21" s="16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68" t="str">
        <f>+'COA-301 T'!D22:E22</f>
        <v>Manzano Huanca David Hernan</v>
      </c>
      <c r="E22" s="168"/>
      <c r="F22" s="32">
        <v>28</v>
      </c>
      <c r="G22" s="32">
        <v>67</v>
      </c>
      <c r="H22" s="35">
        <f t="shared" si="0"/>
        <v>95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T'!D23:E23</f>
        <v>Salinas Lopez Elvis Alex</v>
      </c>
      <c r="E23" s="168"/>
      <c r="F23" s="32">
        <v>30</v>
      </c>
      <c r="G23" s="32">
        <v>53</v>
      </c>
      <c r="H23" s="35">
        <f t="shared" si="0"/>
        <v>83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T'!D24:E24</f>
        <v>Tellez Ledo Axel Jairo</v>
      </c>
      <c r="E24" s="168"/>
      <c r="F24" s="32">
        <v>21</v>
      </c>
      <c r="G24" s="32">
        <v>48</v>
      </c>
      <c r="H24" s="35">
        <f t="shared" si="0"/>
        <v>69</v>
      </c>
      <c r="I24" s="32"/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6" sqref="I1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26953125" customWidth="1"/>
    <col min="6" max="6" width="8" customWidth="1"/>
    <col min="7" max="7" width="8.81640625" customWidth="1"/>
    <col min="8" max="8" width="9.7265625" customWidth="1"/>
    <col min="9" max="9" width="10.36328125" customWidth="1"/>
    <col min="10" max="10" width="6.81640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+'COG-303'!E8:H8</f>
        <v>CONTABILIDAD GUBERNAMENTAL</v>
      </c>
      <c r="F8" s="134"/>
      <c r="G8" s="134"/>
      <c r="H8" s="135"/>
      <c r="I8" s="27" t="s">
        <v>80</v>
      </c>
      <c r="J8" s="132" t="str">
        <f>+'COG-303'!J8:K8</f>
        <v>COG-303</v>
      </c>
      <c r="K8" s="136"/>
    </row>
    <row r="9" spans="1:11" x14ac:dyDescent="0.35">
      <c r="D9" s="27" t="s">
        <v>78</v>
      </c>
      <c r="E9" s="133" t="s">
        <v>153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 t="str">
        <f>+'COA-301 T'!D13:E13</f>
        <v>Choque Choque Eneida</v>
      </c>
      <c r="E13" s="14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48" t="str">
        <f>+'COA-301 T'!D14:E14</f>
        <v>Condori Felipez Nahely</v>
      </c>
      <c r="E14" s="14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48" t="str">
        <f>+'COA-301 T'!D15:E15</f>
        <v>Cusi Cruz Ramiro</v>
      </c>
      <c r="E15" s="14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 t="str">
        <f>+'COA-301 T'!D16:E16</f>
        <v>Diaz Soruco Milenka Ingrid</v>
      </c>
      <c r="E16" s="148"/>
      <c r="F16" s="32">
        <v>25</v>
      </c>
      <c r="G16" s="32">
        <v>53</v>
      </c>
      <c r="H16" s="35">
        <f t="shared" si="0"/>
        <v>78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48" t="str">
        <f>+'COA-301 T'!D17:E17</f>
        <v>Fernandez Choque Karen Carolina</v>
      </c>
      <c r="E17" s="148"/>
      <c r="F17" s="32">
        <v>30</v>
      </c>
      <c r="G17" s="32">
        <v>60</v>
      </c>
      <c r="H17" s="35">
        <f t="shared" si="0"/>
        <v>90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48" t="str">
        <f>+'COA-301 T'!D18:E18</f>
        <v>Flores Condarco Eberth Luis</v>
      </c>
      <c r="E18" s="148"/>
      <c r="F18" s="32">
        <v>21</v>
      </c>
      <c r="G18" s="32">
        <v>41</v>
      </c>
      <c r="H18" s="35">
        <f t="shared" si="0"/>
        <v>62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48" t="str">
        <f>+'COA-301 T'!D19:E19</f>
        <v>Guarachi Bolivar Ariel Leonel</v>
      </c>
      <c r="E19" s="14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 t="str">
        <f>+'COA-301 T'!D20:E20</f>
        <v>Guarachi Bolivar Omar Rodrigo</v>
      </c>
      <c r="E20" s="14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 t="str">
        <f>+'COA-301 T'!D21:E21</f>
        <v>Lazarte Escobar Cristian Fernando</v>
      </c>
      <c r="E21" s="14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 t="str">
        <f>+'COA-301 T'!D22:E22</f>
        <v>Manzano Huanca David Hernan</v>
      </c>
      <c r="E22" s="148"/>
      <c r="F22" s="32">
        <v>30</v>
      </c>
      <c r="G22" s="32">
        <v>70</v>
      </c>
      <c r="H22" s="35">
        <f t="shared" si="0"/>
        <v>100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48" t="str">
        <f>+'COA-301 T'!D23:E23</f>
        <v>Salinas Lopez Elvis Alex</v>
      </c>
      <c r="E23" s="148"/>
      <c r="F23" s="32">
        <v>30</v>
      </c>
      <c r="G23" s="32">
        <v>55</v>
      </c>
      <c r="H23" s="35">
        <f t="shared" si="0"/>
        <v>85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48" t="str">
        <f>+'COA-301 T'!D24:E24</f>
        <v>Tellez Ledo Axel Jairo</v>
      </c>
      <c r="E24" s="148"/>
      <c r="F24" s="32">
        <v>19</v>
      </c>
      <c r="G24" s="32">
        <v>35</v>
      </c>
      <c r="H24" s="35">
        <f t="shared" si="0"/>
        <v>54</v>
      </c>
      <c r="I24" s="32">
        <v>61</v>
      </c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J6" sqref="J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81640625" customWidth="1"/>
    <col min="6" max="6" width="8" customWidth="1"/>
    <col min="7" max="7" width="9.36328125" customWidth="1"/>
    <col min="8" max="8" width="9" customWidth="1"/>
    <col min="9" max="9" width="10.36328125" customWidth="1"/>
    <col min="10" max="10" width="7.179687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+'CEP.304'!E8:H8</f>
        <v>CONTABILIDAD EXTRACTIVA (Minera, Petrolera y Forestal)</v>
      </c>
      <c r="F8" s="134"/>
      <c r="G8" s="134"/>
      <c r="H8" s="135"/>
      <c r="I8" s="27" t="s">
        <v>80</v>
      </c>
      <c r="J8" s="132" t="str">
        <f>+'CEP.304'!J8:K8</f>
        <v>CEP-304</v>
      </c>
      <c r="K8" s="136"/>
    </row>
    <row r="9" spans="1:11" x14ac:dyDescent="0.35">
      <c r="D9" s="27" t="s">
        <v>78</v>
      </c>
      <c r="E9" s="133" t="s">
        <v>155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 t="str">
        <f>+'COA-301 T'!D13:E13</f>
        <v>Choque Choque Eneida</v>
      </c>
      <c r="E13" s="14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48" t="str">
        <f>+'COA-301 T'!D14:E14</f>
        <v>Condori Felipez Nahely</v>
      </c>
      <c r="E14" s="14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48" t="str">
        <f>+'COA-301 T'!D15:E15</f>
        <v>Cusi Cruz Ramiro</v>
      </c>
      <c r="E15" s="14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 t="str">
        <f>+'COA-301 T'!D16:E16</f>
        <v>Diaz Soruco Milenka Ingrid</v>
      </c>
      <c r="E16" s="148"/>
      <c r="F16" s="32">
        <v>27</v>
      </c>
      <c r="G16" s="32">
        <v>67</v>
      </c>
      <c r="H16" s="35">
        <f t="shared" si="0"/>
        <v>94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48" t="str">
        <f>+'COA-301 T'!D17:E17</f>
        <v>Fernandez Choque Karen Carolina</v>
      </c>
      <c r="E17" s="148"/>
      <c r="F17" s="32">
        <v>30</v>
      </c>
      <c r="G17" s="32">
        <v>62</v>
      </c>
      <c r="H17" s="35">
        <f t="shared" si="0"/>
        <v>92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48" t="str">
        <f>+'COA-301 T'!D18:E18</f>
        <v>Flores Condarco Eberth Luis</v>
      </c>
      <c r="E18" s="148"/>
      <c r="F18" s="32">
        <v>22</v>
      </c>
      <c r="G18" s="32">
        <v>43</v>
      </c>
      <c r="H18" s="35">
        <f t="shared" si="0"/>
        <v>65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48" t="str">
        <f>+'COA-301 T'!D19:E19</f>
        <v>Guarachi Bolivar Ariel Leonel</v>
      </c>
      <c r="E19" s="14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 t="str">
        <f>+'COA-301 T'!D20:E20</f>
        <v>Guarachi Bolivar Omar Rodrigo</v>
      </c>
      <c r="E20" s="14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 t="str">
        <f>+'COA-301 T'!D21:E21</f>
        <v>Lazarte Escobar Cristian Fernando</v>
      </c>
      <c r="E21" s="14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 t="str">
        <f>+'COA-301 T'!D22:E22</f>
        <v>Manzano Huanca David Hernan</v>
      </c>
      <c r="E22" s="148"/>
      <c r="F22" s="32">
        <v>25</v>
      </c>
      <c r="G22" s="32">
        <v>59</v>
      </c>
      <c r="H22" s="35">
        <f t="shared" si="0"/>
        <v>84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48" t="str">
        <f>+'COA-301 T'!D23:E23</f>
        <v>Salinas Lopez Elvis Alex</v>
      </c>
      <c r="E23" s="148"/>
      <c r="F23" s="32">
        <v>30</v>
      </c>
      <c r="G23" s="32">
        <v>57</v>
      </c>
      <c r="H23" s="35">
        <f t="shared" si="0"/>
        <v>87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48" t="str">
        <f>+'COA-301 T'!D24:E24</f>
        <v>Tellez Ledo Axel Jairo</v>
      </c>
      <c r="E24" s="148"/>
      <c r="F24" s="32">
        <v>22</v>
      </c>
      <c r="G24" s="32">
        <v>51</v>
      </c>
      <c r="H24" s="35">
        <f t="shared" si="0"/>
        <v>73</v>
      </c>
      <c r="I24" s="32"/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ht="15" customHeight="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7" sqref="I17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26953125" customWidth="1"/>
    <col min="6" max="6" width="8" customWidth="1"/>
    <col min="7" max="7" width="9.36328125" customWidth="1"/>
    <col min="8" max="8" width="8.7265625" customWidth="1"/>
    <col min="9" max="9" width="9.81640625" customWidth="1"/>
    <col min="10" max="10" width="6.5429687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+'CSH-305'!E8:H8</f>
        <v>CONTABILIDAD DE SERVICIOS (Construcción, Hotelería y Transporte)</v>
      </c>
      <c r="F8" s="134"/>
      <c r="G8" s="134"/>
      <c r="H8" s="135"/>
      <c r="I8" s="27" t="s">
        <v>80</v>
      </c>
      <c r="J8" s="132" t="str">
        <f>+'CSH-305'!J8:K8</f>
        <v>CSH-305</v>
      </c>
      <c r="K8" s="136"/>
    </row>
    <row r="9" spans="1:11" x14ac:dyDescent="0.35">
      <c r="D9" s="27" t="s">
        <v>78</v>
      </c>
      <c r="E9" s="133" t="s">
        <v>153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 t="str">
        <f>+'COA-301 T'!D13:E13</f>
        <v>Choque Choque Eneida</v>
      </c>
      <c r="E13" s="14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48" t="str">
        <f>+'COA-301 T'!D14:E14</f>
        <v>Condori Felipez Nahely</v>
      </c>
      <c r="E14" s="14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48" t="str">
        <f>+'COA-301 T'!D15:E15</f>
        <v>Cusi Cruz Ramiro</v>
      </c>
      <c r="E15" s="14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 t="str">
        <f>+'COA-301 T'!D16:E16</f>
        <v>Diaz Soruco Milenka Ingrid</v>
      </c>
      <c r="E16" s="148"/>
      <c r="F16" s="32">
        <v>16</v>
      </c>
      <c r="G16" s="32">
        <v>65</v>
      </c>
      <c r="H16" s="35">
        <f t="shared" si="0"/>
        <v>81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48" t="str">
        <f>+'COA-301 T'!D17:E17</f>
        <v>Fernandez Choque Karen Carolina</v>
      </c>
      <c r="E17" s="148"/>
      <c r="F17" s="32">
        <v>30</v>
      </c>
      <c r="G17" s="32">
        <v>57</v>
      </c>
      <c r="H17" s="35">
        <f t="shared" si="0"/>
        <v>87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48" t="str">
        <f>+'COA-301 T'!D18:E18</f>
        <v>Flores Condarco Eberth Luis</v>
      </c>
      <c r="E18" s="148"/>
      <c r="F18" s="32">
        <v>21</v>
      </c>
      <c r="G18" s="32">
        <v>45</v>
      </c>
      <c r="H18" s="35">
        <f t="shared" si="0"/>
        <v>66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48" t="str">
        <f>+'COA-301 T'!D19:E19</f>
        <v>Guarachi Bolivar Ariel Leonel</v>
      </c>
      <c r="E19" s="14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 t="str">
        <f>+'COA-301 T'!D20:E20</f>
        <v>Guarachi Bolivar Omar Rodrigo</v>
      </c>
      <c r="E20" s="14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 t="str">
        <f>+'COA-301 T'!D21:E21</f>
        <v>Lazarte Escobar Cristian Fernando</v>
      </c>
      <c r="E21" s="14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 t="str">
        <f>+'COA-301 T'!D22:E22</f>
        <v>Manzano Huanca David Hernan</v>
      </c>
      <c r="E22" s="148"/>
      <c r="F22" s="32">
        <v>22</v>
      </c>
      <c r="G22" s="32">
        <v>70</v>
      </c>
      <c r="H22" s="35">
        <f t="shared" si="0"/>
        <v>92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48" t="str">
        <f>+'COA-301 T'!D23:E23</f>
        <v>Salinas Lopez Elvis Alex</v>
      </c>
      <c r="E23" s="148"/>
      <c r="F23" s="32">
        <v>30</v>
      </c>
      <c r="G23" s="32">
        <v>51</v>
      </c>
      <c r="H23" s="35">
        <f t="shared" si="0"/>
        <v>81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48" t="str">
        <f>+'COA-301 T'!D24:E24</f>
        <v>Tellez Ledo Axel Jairo</v>
      </c>
      <c r="E24" s="148"/>
      <c r="F24" s="32">
        <v>10</v>
      </c>
      <c r="G24" s="32">
        <v>60</v>
      </c>
      <c r="H24" s="35">
        <f t="shared" si="0"/>
        <v>70</v>
      </c>
      <c r="I24" s="32"/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ht="15" customHeight="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8" sqref="I18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7265625" customWidth="1"/>
    <col min="6" max="6" width="8" customWidth="1"/>
    <col min="7" max="7" width="9.36328125" customWidth="1"/>
    <col min="8" max="8" width="9" customWidth="1"/>
    <col min="9" max="9" width="10.36328125" customWidth="1"/>
    <col min="10" max="10" width="6.81640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+'GCI-306'!E8:H8</f>
        <v>GABINETE CONTABLE INFORMÁTICO</v>
      </c>
      <c r="F8" s="134"/>
      <c r="G8" s="134"/>
      <c r="H8" s="135"/>
      <c r="I8" s="27" t="s">
        <v>80</v>
      </c>
      <c r="J8" s="132" t="str">
        <f>+'GCI-306'!J8:K8</f>
        <v>GCI-306</v>
      </c>
      <c r="K8" s="136"/>
    </row>
    <row r="9" spans="1:11" x14ac:dyDescent="0.35">
      <c r="D9" s="27" t="s">
        <v>78</v>
      </c>
      <c r="E9" s="133" t="s">
        <v>157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 t="str">
        <f>+'COA-301 T'!D13:E13</f>
        <v>Choque Choque Eneida</v>
      </c>
      <c r="E13" s="14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48" t="str">
        <f>+'COA-301 T'!D14:E14</f>
        <v>Condori Felipez Nahely</v>
      </c>
      <c r="E14" s="14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48" t="str">
        <f>+'COA-301 T'!D15:E15</f>
        <v>Cusi Cruz Ramiro</v>
      </c>
      <c r="E15" s="14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 t="str">
        <f>+'COA-301 T'!D16:E16</f>
        <v>Diaz Soruco Milenka Ingrid</v>
      </c>
      <c r="E16" s="148"/>
      <c r="F16" s="32">
        <v>30</v>
      </c>
      <c r="G16" s="32">
        <v>54</v>
      </c>
      <c r="H16" s="35">
        <f t="shared" si="0"/>
        <v>84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48" t="str">
        <f>+'COA-301 T'!D17:E17</f>
        <v>Fernandez Choque Karen Carolina</v>
      </c>
      <c r="E17" s="148"/>
      <c r="F17" s="32">
        <v>30</v>
      </c>
      <c r="G17" s="32">
        <v>63</v>
      </c>
      <c r="H17" s="35">
        <f t="shared" si="0"/>
        <v>93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48" t="str">
        <f>+'COA-301 T'!D18:E18</f>
        <v>Flores Condarco Eberth Luis</v>
      </c>
      <c r="E18" s="148"/>
      <c r="F18" s="32">
        <v>25</v>
      </c>
      <c r="G18" s="32">
        <v>41</v>
      </c>
      <c r="H18" s="35">
        <f t="shared" si="0"/>
        <v>66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48" t="str">
        <f>+'COA-301 T'!D19:E19</f>
        <v>Guarachi Bolivar Ariel Leonel</v>
      </c>
      <c r="E19" s="14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 t="str">
        <f>+'COA-301 T'!D20:E20</f>
        <v>Guarachi Bolivar Omar Rodrigo</v>
      </c>
      <c r="E20" s="14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 t="str">
        <f>+'COA-301 T'!D21:E21</f>
        <v>Lazarte Escobar Cristian Fernando</v>
      </c>
      <c r="E21" s="14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 t="str">
        <f>+'COA-301 T'!D22:E22</f>
        <v>Manzano Huanca David Hernan</v>
      </c>
      <c r="E22" s="148"/>
      <c r="F22" s="32">
        <v>30</v>
      </c>
      <c r="G22" s="32">
        <v>70</v>
      </c>
      <c r="H22" s="35">
        <f t="shared" si="0"/>
        <v>100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48" t="str">
        <f>+'COA-301 T'!D23:E23</f>
        <v>Salinas Lopez Elvis Alex</v>
      </c>
      <c r="E23" s="148"/>
      <c r="F23" s="32">
        <v>30</v>
      </c>
      <c r="G23" s="32">
        <v>58</v>
      </c>
      <c r="H23" s="35">
        <f t="shared" si="0"/>
        <v>88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48" t="str">
        <f>+'COA-301 T'!D24:E24</f>
        <v>Tellez Ledo Axel Jairo</v>
      </c>
      <c r="E24" s="148"/>
      <c r="F24" s="32">
        <v>20</v>
      </c>
      <c r="G24" s="32">
        <v>46</v>
      </c>
      <c r="H24" s="35">
        <f t="shared" si="0"/>
        <v>66</v>
      </c>
      <c r="I24" s="32"/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ht="15" customHeight="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6" sqref="I1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1796875" customWidth="1"/>
    <col min="6" max="6" width="8" customWidth="1"/>
    <col min="7" max="7" width="9.36328125" customWidth="1"/>
    <col min="8" max="8" width="9.7265625" customWidth="1"/>
    <col min="9" max="9" width="9.36328125" customWidth="1"/>
    <col min="10" max="10" width="7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+'AEF-307'!E8:H8</f>
        <v>ANÁLISIS E INTERPRETACIONES DE ESTADOS FINANCIEROS</v>
      </c>
      <c r="F8" s="134"/>
      <c r="G8" s="134"/>
      <c r="H8" s="135"/>
      <c r="I8" s="27" t="s">
        <v>80</v>
      </c>
      <c r="J8" s="132" t="str">
        <f>+'AEF-307'!J8:K8</f>
        <v>AEF-307</v>
      </c>
      <c r="K8" s="136"/>
    </row>
    <row r="9" spans="1:11" x14ac:dyDescent="0.35">
      <c r="D9" s="27" t="s">
        <v>78</v>
      </c>
      <c r="E9" s="133" t="s">
        <v>157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T'!D13:E13</f>
        <v>Choque Choque Eneida</v>
      </c>
      <c r="E13" s="16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68" t="str">
        <f>+'COA-301 T'!D14:E14</f>
        <v>Condori Felipez Nahely</v>
      </c>
      <c r="E14" s="16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68" t="str">
        <f>+'COA-301 T'!D15:E15</f>
        <v>Cusi Cruz Ramiro</v>
      </c>
      <c r="E15" s="16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68" t="str">
        <f>+'COA-301 T'!D16:E16</f>
        <v>Diaz Soruco Milenka Ingrid</v>
      </c>
      <c r="E16" s="168"/>
      <c r="F16" s="32">
        <v>23</v>
      </c>
      <c r="G16" s="32">
        <v>57</v>
      </c>
      <c r="H16" s="35">
        <f t="shared" si="0"/>
        <v>80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T'!D17:E17</f>
        <v>Fernandez Choque Karen Carolina</v>
      </c>
      <c r="E17" s="168"/>
      <c r="F17" s="32">
        <v>30</v>
      </c>
      <c r="G17" s="32">
        <v>60</v>
      </c>
      <c r="H17" s="35">
        <f t="shared" si="0"/>
        <v>90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68" t="str">
        <f>+'COA-301 T'!D18:E18</f>
        <v>Flores Condarco Eberth Luis</v>
      </c>
      <c r="E18" s="168"/>
      <c r="F18" s="32">
        <v>21</v>
      </c>
      <c r="G18" s="32">
        <v>40</v>
      </c>
      <c r="H18" s="35">
        <f t="shared" si="0"/>
        <v>61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T'!D19:E19</f>
        <v>Guarachi Bolivar Ariel Leonel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T'!D20:E20</f>
        <v>Guarachi Bolivar Omar Rodrigo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T'!D21:E21</f>
        <v>Lazarte Escobar Cristian Fernando</v>
      </c>
      <c r="E21" s="16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68" t="str">
        <f>+'COA-301 T'!D22:E22</f>
        <v>Manzano Huanca David Hernan</v>
      </c>
      <c r="E22" s="168"/>
      <c r="F22" s="32">
        <v>30</v>
      </c>
      <c r="G22" s="32">
        <v>63</v>
      </c>
      <c r="H22" s="35">
        <f t="shared" si="0"/>
        <v>93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T'!D23:E23</f>
        <v>Salinas Lopez Elvis Alex</v>
      </c>
      <c r="E23" s="168"/>
      <c r="F23" s="32">
        <v>30</v>
      </c>
      <c r="G23" s="32">
        <v>55</v>
      </c>
      <c r="H23" s="35">
        <f t="shared" si="0"/>
        <v>85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T'!D24:E24</f>
        <v>Tellez Ledo Axel Jairo</v>
      </c>
      <c r="E24" s="168"/>
      <c r="F24" s="32">
        <v>15</v>
      </c>
      <c r="G24" s="32">
        <v>30</v>
      </c>
      <c r="H24" s="35">
        <f t="shared" si="0"/>
        <v>45</v>
      </c>
      <c r="I24" s="32">
        <v>61</v>
      </c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ht="15" customHeight="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5" sqref="I15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1796875" customWidth="1"/>
    <col min="6" max="6" width="8" customWidth="1"/>
    <col min="7" max="7" width="9.36328125" customWidth="1"/>
    <col min="8" max="8" width="9.7265625" customWidth="1"/>
    <col min="9" max="9" width="9.36328125" customWidth="1"/>
    <col min="10" max="10" width="7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+'TMG-308'!E8:H8</f>
        <v>TALLER DE MODALIDAD DE GRADUACIÓN</v>
      </c>
      <c r="F8" s="134"/>
      <c r="G8" s="134"/>
      <c r="H8" s="135"/>
      <c r="I8" s="27" t="s">
        <v>80</v>
      </c>
      <c r="J8" s="132" t="str">
        <f>+'TMG-308'!J8:K8</f>
        <v>TMG-308</v>
      </c>
      <c r="K8" s="136"/>
    </row>
    <row r="9" spans="1:11" x14ac:dyDescent="0.35">
      <c r="D9" s="27" t="s">
        <v>78</v>
      </c>
      <c r="E9" s="133" t="s">
        <v>153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5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48" t="str">
        <f>+'COA-301 T'!D13:E13</f>
        <v>Choque Choque Eneida</v>
      </c>
      <c r="E13" s="148"/>
      <c r="F13" s="32">
        <v>0</v>
      </c>
      <c r="G13" s="32">
        <v>0</v>
      </c>
      <c r="H13" s="35">
        <f>+F13+G13</f>
        <v>0</v>
      </c>
      <c r="I13" s="32"/>
      <c r="J13" s="127" t="str">
        <f>IF(H13=0,"Abandono",IF(OR(H13&gt;=61,I13=61),"Aprobado","Reprobado"))</f>
        <v>Abandono</v>
      </c>
      <c r="K13" s="128"/>
    </row>
    <row r="14" spans="1:11" ht="12.75" customHeight="1" x14ac:dyDescent="0.35">
      <c r="C14" s="30">
        <v>2</v>
      </c>
      <c r="D14" s="148" t="str">
        <f>+'COA-301 T'!D14:E14</f>
        <v>Condori Felipez Nahely</v>
      </c>
      <c r="E14" s="148"/>
      <c r="F14" s="32">
        <v>0</v>
      </c>
      <c r="G14" s="32">
        <v>0</v>
      </c>
      <c r="H14" s="35">
        <f t="shared" ref="H14:H24" si="0">+F14+G14</f>
        <v>0</v>
      </c>
      <c r="I14" s="32"/>
      <c r="J14" s="127" t="str">
        <f t="shared" ref="J14:J24" si="1">IF(H14=0,"Abandono",IF(OR(H14&gt;=61,I14=61),"Aprobado","Reprobado"))</f>
        <v>Abandono</v>
      </c>
      <c r="K14" s="128"/>
    </row>
    <row r="15" spans="1:11" ht="12.75" customHeight="1" x14ac:dyDescent="0.35">
      <c r="C15" s="30">
        <v>3</v>
      </c>
      <c r="D15" s="148" t="str">
        <f>+'COA-301 T'!D15:E15</f>
        <v>Cusi Cruz Ramiro</v>
      </c>
      <c r="E15" s="148"/>
      <c r="F15" s="32">
        <v>0</v>
      </c>
      <c r="G15" s="32">
        <v>0</v>
      </c>
      <c r="H15" s="35">
        <f t="shared" si="0"/>
        <v>0</v>
      </c>
      <c r="I15" s="32"/>
      <c r="J15" s="127" t="str">
        <f t="shared" si="1"/>
        <v>Abandono</v>
      </c>
      <c r="K15" s="128"/>
    </row>
    <row r="16" spans="1:11" ht="12.75" customHeight="1" x14ac:dyDescent="0.35">
      <c r="C16" s="30">
        <v>4</v>
      </c>
      <c r="D16" s="148" t="str">
        <f>+'COA-301 T'!D16:E16</f>
        <v>Diaz Soruco Milenka Ingrid</v>
      </c>
      <c r="E16" s="148"/>
      <c r="F16" s="32">
        <v>16</v>
      </c>
      <c r="G16" s="32">
        <v>68</v>
      </c>
      <c r="H16" s="35">
        <f t="shared" si="0"/>
        <v>84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48" t="str">
        <f>+'COA-301 T'!D17:E17</f>
        <v>Fernandez Choque Karen Carolina</v>
      </c>
      <c r="E17" s="148"/>
      <c r="F17" s="32">
        <v>30</v>
      </c>
      <c r="G17" s="32">
        <v>62</v>
      </c>
      <c r="H17" s="35">
        <f t="shared" si="0"/>
        <v>92</v>
      </c>
      <c r="I17" s="32"/>
      <c r="J17" s="127" t="str">
        <f t="shared" si="1"/>
        <v>Aprobado</v>
      </c>
      <c r="K17" s="128"/>
    </row>
    <row r="18" spans="3:11" ht="12.75" customHeight="1" x14ac:dyDescent="0.35">
      <c r="C18" s="30">
        <v>6</v>
      </c>
      <c r="D18" s="148" t="str">
        <f>+'COA-301 T'!D18:E18</f>
        <v>Flores Condarco Eberth Luis</v>
      </c>
      <c r="E18" s="148"/>
      <c r="F18" s="32">
        <v>22</v>
      </c>
      <c r="G18" s="32">
        <v>43</v>
      </c>
      <c r="H18" s="35">
        <f t="shared" si="0"/>
        <v>65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48" t="str">
        <f>+'COA-301 T'!D19:E19</f>
        <v>Guarachi Bolivar Ariel Leonel</v>
      </c>
      <c r="E19" s="14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48" t="str">
        <f>+'COA-301 T'!D20:E20</f>
        <v>Guarachi Bolivar Omar Rodrigo</v>
      </c>
      <c r="E20" s="14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48" t="str">
        <f>+'COA-301 T'!D21:E21</f>
        <v>Lazarte Escobar Cristian Fernando</v>
      </c>
      <c r="E21" s="148"/>
      <c r="F21" s="32">
        <v>0</v>
      </c>
      <c r="G21" s="32">
        <v>0</v>
      </c>
      <c r="H21" s="35">
        <f t="shared" si="0"/>
        <v>0</v>
      </c>
      <c r="I21" s="32"/>
      <c r="J21" s="127" t="str">
        <f t="shared" si="1"/>
        <v>Abandono</v>
      </c>
      <c r="K21" s="128"/>
    </row>
    <row r="22" spans="3:11" ht="12.75" customHeight="1" x14ac:dyDescent="0.35">
      <c r="C22" s="30">
        <v>10</v>
      </c>
      <c r="D22" s="148" t="str">
        <f>+'COA-301 T'!D22:E22</f>
        <v>Manzano Huanca David Hernan</v>
      </c>
      <c r="E22" s="148"/>
      <c r="F22" s="32">
        <v>28</v>
      </c>
      <c r="G22" s="32">
        <v>70</v>
      </c>
      <c r="H22" s="35">
        <f t="shared" si="0"/>
        <v>98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48" t="str">
        <f>+'COA-301 T'!D23:E23</f>
        <v>Salinas Lopez Elvis Alex</v>
      </c>
      <c r="E23" s="148"/>
      <c r="F23" s="32">
        <v>30</v>
      </c>
      <c r="G23" s="32">
        <v>53</v>
      </c>
      <c r="H23" s="35">
        <f t="shared" si="0"/>
        <v>83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48" t="str">
        <f>+'COA-301 T'!D24:E24</f>
        <v>Tellez Ledo Axel Jairo</v>
      </c>
      <c r="E24" s="148"/>
      <c r="F24" s="32">
        <v>5</v>
      </c>
      <c r="G24" s="32">
        <v>63</v>
      </c>
      <c r="H24" s="35">
        <f t="shared" si="0"/>
        <v>68</v>
      </c>
      <c r="I24" s="32"/>
      <c r="J24" s="127" t="str">
        <f t="shared" si="1"/>
        <v>Aprobado</v>
      </c>
      <c r="K24" s="128"/>
    </row>
    <row r="25" spans="3:11" ht="12.75" customHeight="1" x14ac:dyDescent="0.35">
      <c r="C25" s="30"/>
      <c r="D25" s="148"/>
      <c r="E25" s="148"/>
      <c r="F25" s="32"/>
      <c r="G25" s="32"/>
      <c r="H25" s="35"/>
      <c r="I25" s="32"/>
      <c r="J25" s="127"/>
      <c r="K25" s="128"/>
    </row>
    <row r="26" spans="3:11" ht="12.75" customHeight="1" x14ac:dyDescent="0.35">
      <c r="C26" s="30"/>
      <c r="D26" s="148"/>
      <c r="E26" s="148"/>
      <c r="F26" s="32"/>
      <c r="G26" s="32"/>
      <c r="H26" s="35"/>
      <c r="I26" s="32"/>
      <c r="J26" s="127"/>
      <c r="K26" s="128"/>
    </row>
    <row r="27" spans="3:11" ht="12.75" customHeight="1" x14ac:dyDescent="0.35">
      <c r="C27" s="30"/>
      <c r="D27" s="148"/>
      <c r="E27" s="148"/>
      <c r="F27" s="32"/>
      <c r="G27" s="32"/>
      <c r="H27" s="35"/>
      <c r="I27" s="32"/>
      <c r="J27" s="127"/>
      <c r="K27" s="128"/>
    </row>
    <row r="28" spans="3:11" ht="12.75" customHeight="1" x14ac:dyDescent="0.35">
      <c r="C28" s="30"/>
      <c r="D28" s="148"/>
      <c r="E28" s="148"/>
      <c r="F28" s="32"/>
      <c r="G28" s="32"/>
      <c r="H28" s="35"/>
      <c r="I28" s="32"/>
      <c r="J28" s="127"/>
      <c r="K28" s="128"/>
    </row>
    <row r="29" spans="3:11" ht="12.75" customHeight="1" x14ac:dyDescent="0.35">
      <c r="C29" s="30"/>
      <c r="D29" s="148"/>
      <c r="E29" s="148"/>
      <c r="F29" s="32"/>
      <c r="G29" s="32"/>
      <c r="H29" s="35"/>
      <c r="I29" s="32"/>
      <c r="J29" s="127"/>
      <c r="K29" s="128"/>
    </row>
    <row r="30" spans="3:11" ht="15" customHeight="1" x14ac:dyDescent="0.35">
      <c r="C30" s="30"/>
      <c r="D30" s="148"/>
      <c r="E30" s="148"/>
      <c r="F30" s="32"/>
      <c r="G30" s="32"/>
      <c r="H30" s="35"/>
      <c r="I30" s="32"/>
      <c r="J30" s="127"/>
      <c r="K30" s="128"/>
    </row>
    <row r="31" spans="3:11" ht="15" customHeight="1" x14ac:dyDescent="0.35">
      <c r="C31" s="30"/>
      <c r="D31" s="148"/>
      <c r="E31" s="148"/>
      <c r="F31" s="32"/>
      <c r="G31" s="32"/>
      <c r="H31" s="35"/>
      <c r="I31" s="32"/>
      <c r="J31" s="127"/>
      <c r="K31" s="128"/>
    </row>
    <row r="32" spans="3:11" ht="15" customHeight="1" x14ac:dyDescent="0.35">
      <c r="C32" s="30"/>
      <c r="D32" s="148"/>
      <c r="E32" s="148"/>
      <c r="F32" s="32"/>
      <c r="G32" s="32"/>
      <c r="H32" s="35"/>
      <c r="I32" s="32"/>
      <c r="J32" s="127"/>
      <c r="K32" s="128"/>
    </row>
    <row r="33" spans="3:11" ht="15" customHeight="1" x14ac:dyDescent="0.35">
      <c r="C33" s="30"/>
      <c r="D33" s="148"/>
      <c r="E33" s="148"/>
      <c r="F33" s="32"/>
      <c r="G33" s="32"/>
      <c r="H33" s="35"/>
      <c r="I33" s="32"/>
      <c r="J33" s="127"/>
      <c r="K33" s="128"/>
    </row>
    <row r="34" spans="3:11" ht="15" customHeight="1" x14ac:dyDescent="0.35">
      <c r="C34" s="30"/>
      <c r="D34" s="148"/>
      <c r="E34" s="148"/>
      <c r="F34" s="32"/>
      <c r="G34" s="32"/>
      <c r="H34" s="35"/>
      <c r="I34" s="32"/>
      <c r="J34" s="127"/>
      <c r="K34" s="128"/>
    </row>
    <row r="35" spans="3:11" ht="15" customHeight="1" x14ac:dyDescent="0.35">
      <c r="C35" s="30"/>
      <c r="D35" s="148"/>
      <c r="E35" s="148"/>
      <c r="F35" s="32"/>
      <c r="G35" s="32"/>
      <c r="H35" s="35"/>
      <c r="I35" s="32"/>
      <c r="J35" s="127"/>
      <c r="K35" s="128"/>
    </row>
    <row r="36" spans="3:11" ht="15" customHeight="1" x14ac:dyDescent="0.35">
      <c r="C36" s="30"/>
      <c r="D36" s="148"/>
      <c r="E36" s="148"/>
      <c r="F36" s="32"/>
      <c r="G36" s="32"/>
      <c r="H36" s="35"/>
      <c r="I36" s="32"/>
      <c r="J36" s="127"/>
      <c r="K36" s="128"/>
    </row>
    <row r="37" spans="3:11" x14ac:dyDescent="0.35">
      <c r="C37" s="30"/>
      <c r="D37" s="148"/>
      <c r="E37" s="148"/>
      <c r="F37" s="32"/>
      <c r="G37" s="32"/>
      <c r="H37" s="35"/>
      <c r="I37" s="32"/>
      <c r="J37" s="127"/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12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6</v>
      </c>
      <c r="J52" s="154">
        <f>(I52*J51)/I51</f>
        <v>0.5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0.5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B61:D61"/>
    <mergeCell ref="F61:G61"/>
    <mergeCell ref="I61:K61"/>
    <mergeCell ref="B62:D62"/>
    <mergeCell ref="F62:G62"/>
    <mergeCell ref="I62:K62"/>
    <mergeCell ref="G52:H52"/>
    <mergeCell ref="J52:K52"/>
    <mergeCell ref="G53:H53"/>
    <mergeCell ref="J53:K53"/>
    <mergeCell ref="G54:H54"/>
    <mergeCell ref="J54:K54"/>
    <mergeCell ref="D47:E47"/>
    <mergeCell ref="J47:K47"/>
    <mergeCell ref="G50:H50"/>
    <mergeCell ref="J50:K50"/>
    <mergeCell ref="G51:H51"/>
    <mergeCell ref="J51:K51"/>
    <mergeCell ref="D44:E44"/>
    <mergeCell ref="J44:K44"/>
    <mergeCell ref="D45:E45"/>
    <mergeCell ref="J45:K45"/>
    <mergeCell ref="D46:E46"/>
    <mergeCell ref="J46:K46"/>
    <mergeCell ref="D41:E41"/>
    <mergeCell ref="J41:K41"/>
    <mergeCell ref="D42:E42"/>
    <mergeCell ref="J42:K42"/>
    <mergeCell ref="D43:E43"/>
    <mergeCell ref="J43:K43"/>
    <mergeCell ref="D38:E38"/>
    <mergeCell ref="J38:K38"/>
    <mergeCell ref="D39:E39"/>
    <mergeCell ref="J39:K39"/>
    <mergeCell ref="D40:E40"/>
    <mergeCell ref="J40:K40"/>
    <mergeCell ref="D35:E35"/>
    <mergeCell ref="J35:K35"/>
    <mergeCell ref="D36:E36"/>
    <mergeCell ref="J36:K36"/>
    <mergeCell ref="D37:E37"/>
    <mergeCell ref="J37:K37"/>
    <mergeCell ref="D32:E32"/>
    <mergeCell ref="J32:K32"/>
    <mergeCell ref="D33:E33"/>
    <mergeCell ref="J33:K33"/>
    <mergeCell ref="D34:E34"/>
    <mergeCell ref="J34:K34"/>
    <mergeCell ref="D29:E29"/>
    <mergeCell ref="J29:K29"/>
    <mergeCell ref="D30:E30"/>
    <mergeCell ref="J30:K30"/>
    <mergeCell ref="D31:E31"/>
    <mergeCell ref="J31:K31"/>
    <mergeCell ref="D26:E26"/>
    <mergeCell ref="J26:K26"/>
    <mergeCell ref="D27:E27"/>
    <mergeCell ref="J27:K27"/>
    <mergeCell ref="D28:E28"/>
    <mergeCell ref="J28:K28"/>
    <mergeCell ref="D23:E23"/>
    <mergeCell ref="J23:K23"/>
    <mergeCell ref="D24:E24"/>
    <mergeCell ref="J24:K24"/>
    <mergeCell ref="D25:E25"/>
    <mergeCell ref="J25:K25"/>
    <mergeCell ref="D20:E20"/>
    <mergeCell ref="J20:K20"/>
    <mergeCell ref="D21:E21"/>
    <mergeCell ref="J21:K21"/>
    <mergeCell ref="D22:E22"/>
    <mergeCell ref="J22:K22"/>
    <mergeCell ref="D17:E17"/>
    <mergeCell ref="J17:K17"/>
    <mergeCell ref="D18:E18"/>
    <mergeCell ref="J18:K18"/>
    <mergeCell ref="D19:E19"/>
    <mergeCell ref="J19:K19"/>
    <mergeCell ref="D14:E14"/>
    <mergeCell ref="J14:K14"/>
    <mergeCell ref="D15:E15"/>
    <mergeCell ref="J15:K15"/>
    <mergeCell ref="D16:E16"/>
    <mergeCell ref="J16:K16"/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</mergeCells>
  <pageMargins left="0.70866141732283472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topLeftCell="A38" zoomScale="86" zoomScaleNormal="86" zoomScaleSheetLayoutView="100" workbookViewId="0">
      <selection activeCell="G42" sqref="G42"/>
    </sheetView>
  </sheetViews>
  <sheetFormatPr baseColWidth="10" defaultRowHeight="14.5" x14ac:dyDescent="0.35"/>
  <cols>
    <col min="1" max="1" width="10.26953125" customWidth="1"/>
    <col min="2" max="2" width="5" customWidth="1"/>
    <col min="3" max="3" width="5.1796875" customWidth="1"/>
    <col min="4" max="4" width="8.1796875" customWidth="1"/>
    <col min="5" max="5" width="25.1796875" customWidth="1"/>
    <col min="6" max="6" width="10.81640625" customWidth="1"/>
    <col min="7" max="7" width="7.7265625" customWidth="1"/>
    <col min="8" max="8" width="7.26953125" customWidth="1"/>
    <col min="9" max="9" width="7.1796875" customWidth="1"/>
    <col min="10" max="10" width="7.26953125" customWidth="1"/>
    <col min="11" max="12" width="8.7265625" customWidth="1"/>
    <col min="13" max="13" width="9" customWidth="1"/>
    <col min="14" max="14" width="8.81640625" customWidth="1"/>
    <col min="15" max="15" width="6.7265625" customWidth="1"/>
    <col min="16" max="16" width="7.1796875" customWidth="1"/>
    <col min="17" max="17" width="7" customWidth="1"/>
    <col min="18" max="19" width="7.26953125" customWidth="1"/>
    <col min="20" max="20" width="7" customWidth="1"/>
    <col min="21" max="21" width="7.26953125" customWidth="1"/>
    <col min="22" max="22" width="9.81640625" customWidth="1"/>
    <col min="29" max="29" width="11.36328125" customWidth="1"/>
    <col min="39" max="39" width="11.36328125" customWidth="1"/>
  </cols>
  <sheetData>
    <row r="1" spans="1:23" ht="15.75" customHeight="1" x14ac:dyDescent="0.35">
      <c r="A1" s="115"/>
      <c r="B1" s="116"/>
      <c r="C1" s="2"/>
      <c r="D1" s="2"/>
      <c r="E1" s="2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21"/>
      <c r="T1" s="121"/>
      <c r="U1" s="121"/>
      <c r="V1" s="53"/>
    </row>
    <row r="2" spans="1:23" ht="15" customHeight="1" x14ac:dyDescent="0.35">
      <c r="A2" s="117"/>
      <c r="B2" s="118"/>
      <c r="C2" s="2"/>
      <c r="D2" s="2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22"/>
      <c r="V2" s="122"/>
      <c r="W2" s="1"/>
    </row>
    <row r="3" spans="1:23" ht="20.25" customHeight="1" x14ac:dyDescent="0.35">
      <c r="A3" s="117"/>
      <c r="B3" s="118"/>
      <c r="C3" s="2"/>
      <c r="D3" s="2"/>
      <c r="E3" s="2"/>
      <c r="F3" s="123" t="s">
        <v>2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2"/>
      <c r="V3" s="122"/>
      <c r="W3" s="1"/>
    </row>
    <row r="4" spans="1:23" ht="21.75" customHeight="1" x14ac:dyDescent="0.35">
      <c r="A4" s="119"/>
      <c r="B4" s="120"/>
      <c r="C4" s="18"/>
      <c r="D4" s="19"/>
      <c r="E4" s="19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6"/>
      <c r="V4" s="12"/>
      <c r="W4" s="1"/>
    </row>
    <row r="5" spans="1:23" ht="16.5" customHeight="1" x14ac:dyDescent="0.35">
      <c r="B5" s="4"/>
      <c r="C5" s="4"/>
      <c r="D5" s="4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24" t="s">
        <v>7</v>
      </c>
      <c r="T5" s="124"/>
      <c r="U5" s="60" t="s">
        <v>59</v>
      </c>
      <c r="V5" s="60"/>
    </row>
    <row r="6" spans="1:23" ht="16.5" customHeight="1" x14ac:dyDescent="0.35">
      <c r="B6" s="4"/>
      <c r="C6" s="112" t="s">
        <v>74</v>
      </c>
      <c r="D6" s="112"/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9"/>
      <c r="Q6" s="9" t="s">
        <v>68</v>
      </c>
      <c r="R6" s="15" t="s">
        <v>109</v>
      </c>
      <c r="S6" s="114" t="s">
        <v>4</v>
      </c>
      <c r="T6" s="114"/>
      <c r="U6" s="16" t="s">
        <v>66</v>
      </c>
      <c r="V6" s="17"/>
    </row>
    <row r="7" spans="1:23" ht="17.149999999999999" customHeight="1" x14ac:dyDescent="0.35">
      <c r="B7" s="4"/>
      <c r="C7" s="163" t="s">
        <v>159</v>
      </c>
      <c r="D7" s="163"/>
      <c r="E7" s="109">
        <v>2022</v>
      </c>
      <c r="F7" s="110" t="s">
        <v>8</v>
      </c>
      <c r="G7" s="38" t="s">
        <v>112</v>
      </c>
      <c r="H7" s="38" t="s">
        <v>113</v>
      </c>
      <c r="I7" s="38" t="s">
        <v>114</v>
      </c>
      <c r="J7" s="38" t="s">
        <v>115</v>
      </c>
      <c r="K7" s="38" t="s">
        <v>116</v>
      </c>
      <c r="L7" s="38" t="s">
        <v>117</v>
      </c>
      <c r="M7" s="38" t="s">
        <v>118</v>
      </c>
      <c r="N7" s="38" t="s">
        <v>119</v>
      </c>
      <c r="O7" s="38"/>
      <c r="P7" s="38"/>
      <c r="Q7" s="38"/>
      <c r="R7" s="38"/>
      <c r="S7" s="38"/>
      <c r="T7" s="38"/>
      <c r="U7" s="38"/>
      <c r="V7" s="111" t="s">
        <v>3</v>
      </c>
    </row>
    <row r="8" spans="1:23" ht="17.149999999999999" customHeight="1" x14ac:dyDescent="0.35">
      <c r="B8" s="4"/>
      <c r="C8" s="163"/>
      <c r="D8" s="163"/>
      <c r="E8" s="109"/>
      <c r="F8" s="110"/>
      <c r="G8" s="105" t="s">
        <v>120</v>
      </c>
      <c r="H8" s="105" t="s">
        <v>121</v>
      </c>
      <c r="I8" s="105" t="s">
        <v>122</v>
      </c>
      <c r="J8" s="105" t="s">
        <v>123</v>
      </c>
      <c r="K8" s="105" t="s">
        <v>124</v>
      </c>
      <c r="L8" s="105" t="s">
        <v>125</v>
      </c>
      <c r="M8" s="105" t="s">
        <v>126</v>
      </c>
      <c r="N8" s="105" t="s">
        <v>127</v>
      </c>
      <c r="O8" s="105"/>
      <c r="P8" s="105"/>
      <c r="Q8" s="105"/>
      <c r="R8" s="105"/>
      <c r="S8" s="105"/>
      <c r="T8" s="105"/>
      <c r="U8" s="105"/>
      <c r="V8" s="111"/>
    </row>
    <row r="9" spans="1:23" ht="17.149999999999999" customHeight="1" x14ac:dyDescent="0.35">
      <c r="B9" s="4"/>
      <c r="C9" s="106" t="s">
        <v>49</v>
      </c>
      <c r="D9" s="106"/>
      <c r="E9" s="39" t="s">
        <v>47</v>
      </c>
      <c r="F9" s="110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11"/>
    </row>
    <row r="10" spans="1:23" ht="17.149999999999999" customHeight="1" x14ac:dyDescent="0.35">
      <c r="B10" s="4"/>
      <c r="C10" s="106" t="s">
        <v>0</v>
      </c>
      <c r="D10" s="106"/>
      <c r="E10" s="39" t="s">
        <v>102</v>
      </c>
      <c r="F10" s="110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11"/>
    </row>
    <row r="11" spans="1:23" ht="15" customHeight="1" x14ac:dyDescent="0.35">
      <c r="B11" s="4"/>
      <c r="C11" s="106" t="s">
        <v>50</v>
      </c>
      <c r="D11" s="106"/>
      <c r="E11" s="39" t="s">
        <v>54</v>
      </c>
      <c r="F11" s="110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11"/>
    </row>
    <row r="12" spans="1:23" ht="17.149999999999999" customHeight="1" x14ac:dyDescent="0.35">
      <c r="B12" s="4"/>
      <c r="C12" s="106" t="s">
        <v>51</v>
      </c>
      <c r="D12" s="106"/>
      <c r="E12" s="39" t="s">
        <v>156</v>
      </c>
      <c r="F12" s="110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11"/>
    </row>
    <row r="13" spans="1:23" ht="18" customHeight="1" x14ac:dyDescent="0.35">
      <c r="B13" s="4"/>
      <c r="C13" s="52" t="s">
        <v>1</v>
      </c>
      <c r="D13" s="107" t="s">
        <v>5</v>
      </c>
      <c r="E13" s="107"/>
      <c r="F13" s="110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11"/>
    </row>
    <row r="14" spans="1:23" x14ac:dyDescent="0.35">
      <c r="B14" s="4"/>
      <c r="C14" s="59">
        <v>1</v>
      </c>
      <c r="D14" s="162" t="str">
        <f>+'COA-301 N'!D13:E13</f>
        <v>Atocha Mamani Ruben</v>
      </c>
      <c r="E14" s="104"/>
      <c r="F14" s="78" t="s">
        <v>171</v>
      </c>
      <c r="G14" s="48">
        <f>+'COA-301 N'!H13</f>
        <v>70</v>
      </c>
      <c r="H14" s="48">
        <f>+'COC-302 N'!H13</f>
        <v>84</v>
      </c>
      <c r="I14" s="48">
        <f>+'COG-303 N'!H13</f>
        <v>64</v>
      </c>
      <c r="J14" s="48">
        <f>+'CEP-304 N'!H13</f>
        <v>88</v>
      </c>
      <c r="K14" s="48">
        <f>+'CSH-305 N'!H13</f>
        <v>68</v>
      </c>
      <c r="L14" s="48">
        <v>61</v>
      </c>
      <c r="M14" s="48">
        <f>+'AEF-307 N'!H13</f>
        <v>70</v>
      </c>
      <c r="N14" s="48">
        <f>+'TMG-308 N'!H13</f>
        <v>66</v>
      </c>
      <c r="O14" s="42"/>
      <c r="P14" s="42"/>
      <c r="Q14" s="42"/>
      <c r="R14" s="42"/>
      <c r="S14" s="42"/>
      <c r="T14" s="42"/>
      <c r="U14" s="42"/>
      <c r="V14" s="42" t="str">
        <f>IF(M14=0,"Abandono",IF(AVERAGE(G14:M14)&gt;=61,"Aprobado","Reprobado"))</f>
        <v>Aprobado</v>
      </c>
    </row>
    <row r="15" spans="1:23" ht="14.25" customHeight="1" x14ac:dyDescent="0.35">
      <c r="B15" s="4"/>
      <c r="C15" s="59">
        <v>2</v>
      </c>
      <c r="D15" s="162" t="str">
        <f>+'COA-301 N'!D14:E14</f>
        <v>Bautista Yucra Judith</v>
      </c>
      <c r="E15" s="104"/>
      <c r="F15" s="78" t="s">
        <v>172</v>
      </c>
      <c r="G15" s="48">
        <f>+'COA-301 N'!H14</f>
        <v>70</v>
      </c>
      <c r="H15" s="48">
        <f>+'COC-302 N'!H14</f>
        <v>92</v>
      </c>
      <c r="I15" s="48">
        <f>+'COG-303 N'!H14</f>
        <v>76</v>
      </c>
      <c r="J15" s="48">
        <f>+'CEP-304 N'!H14</f>
        <v>89</v>
      </c>
      <c r="K15" s="48">
        <f>+'CSH-305 N'!H14</f>
        <v>73</v>
      </c>
      <c r="L15" s="48">
        <f>+'GCI-306 N'!H14</f>
        <v>64</v>
      </c>
      <c r="M15" s="48">
        <f>+'AEF-307 N'!H14</f>
        <v>74</v>
      </c>
      <c r="N15" s="48">
        <f>+'TMG-308 N'!H14</f>
        <v>86</v>
      </c>
      <c r="O15" s="42"/>
      <c r="P15" s="42"/>
      <c r="Q15" s="42"/>
      <c r="R15" s="42"/>
      <c r="S15" s="42"/>
      <c r="T15" s="42"/>
      <c r="U15" s="42"/>
      <c r="V15" s="42" t="str">
        <f t="shared" ref="V15:V38" si="0">IF(M15=0,"Abandono",IF(AVERAGE(G15:M15)&gt;=61,"Aprobado","Reprobado"))</f>
        <v>Aprobado</v>
      </c>
    </row>
    <row r="16" spans="1:23" ht="14.25" customHeight="1" x14ac:dyDescent="0.35">
      <c r="B16" s="4"/>
      <c r="C16" s="59">
        <v>3</v>
      </c>
      <c r="D16" s="162" t="str">
        <f>+'COA-301 N'!D15:E15</f>
        <v>Bejarano Loras Douglas</v>
      </c>
      <c r="E16" s="104"/>
      <c r="F16" s="78" t="s">
        <v>173</v>
      </c>
      <c r="G16" s="48">
        <f>+'COA-301 N'!H15</f>
        <v>62</v>
      </c>
      <c r="H16" s="48">
        <f>+'COC-302 N'!H15</f>
        <v>63</v>
      </c>
      <c r="I16" s="48">
        <f>+'COG-303 N'!H15</f>
        <v>62</v>
      </c>
      <c r="J16" s="48">
        <f>+'CEP-304 N'!H15</f>
        <v>64</v>
      </c>
      <c r="K16" s="48">
        <f>+'CSH-305 N'!H15</f>
        <v>65</v>
      </c>
      <c r="L16" s="48">
        <f>+'GCI-306 N'!H15</f>
        <v>64</v>
      </c>
      <c r="M16" s="48">
        <f>+'AEF-307 N'!H15</f>
        <v>63</v>
      </c>
      <c r="N16" s="48">
        <v>61</v>
      </c>
      <c r="O16" s="42"/>
      <c r="P16" s="42"/>
      <c r="Q16" s="42"/>
      <c r="R16" s="42"/>
      <c r="S16" s="42"/>
      <c r="T16" s="42"/>
      <c r="U16" s="42"/>
      <c r="V16" s="42" t="str">
        <f t="shared" si="0"/>
        <v>Aprobado</v>
      </c>
    </row>
    <row r="17" spans="2:22" ht="12" customHeight="1" x14ac:dyDescent="0.35">
      <c r="B17" s="4"/>
      <c r="C17" s="59">
        <v>4</v>
      </c>
      <c r="D17" s="162" t="str">
        <f>+'COA-301 N'!D16:E16</f>
        <v>Choque Paillo Jaime</v>
      </c>
      <c r="E17" s="104"/>
      <c r="F17" s="78">
        <v>7394993</v>
      </c>
      <c r="G17" s="48">
        <f>+'COA-301 N'!H16</f>
        <v>88</v>
      </c>
      <c r="H17" s="48">
        <f>+'COC-302 N'!H16</f>
        <v>92</v>
      </c>
      <c r="I17" s="48">
        <f>+'COG-303 N'!H16</f>
        <v>79</v>
      </c>
      <c r="J17" s="48">
        <f>+'CEP-304 N'!H16</f>
        <v>95</v>
      </c>
      <c r="K17" s="48">
        <f>+'CSH-305 N'!H16</f>
        <v>83</v>
      </c>
      <c r="L17" s="48">
        <f>+'GCI-306 N'!H16</f>
        <v>87</v>
      </c>
      <c r="M17" s="48">
        <f>+'AEF-307 N'!H16</f>
        <v>75</v>
      </c>
      <c r="N17" s="48">
        <f>+'TMG-308 N'!H16</f>
        <v>88</v>
      </c>
      <c r="O17" s="42"/>
      <c r="P17" s="42"/>
      <c r="Q17" s="42"/>
      <c r="R17" s="42"/>
      <c r="S17" s="42"/>
      <c r="T17" s="42"/>
      <c r="U17" s="42"/>
      <c r="V17" s="42" t="str">
        <f t="shared" si="0"/>
        <v>Aprobado</v>
      </c>
    </row>
    <row r="18" spans="2:22" ht="12.75" customHeight="1" x14ac:dyDescent="0.35">
      <c r="B18" s="4"/>
      <c r="C18" s="59">
        <v>5</v>
      </c>
      <c r="D18" s="162" t="str">
        <f>+'COA-301 N'!D17:E17</f>
        <v>Coaquira Coaquira Monica</v>
      </c>
      <c r="E18" s="104"/>
      <c r="F18" s="78" t="s">
        <v>174</v>
      </c>
      <c r="G18" s="48">
        <f>+'COA-301 N'!H17</f>
        <v>0</v>
      </c>
      <c r="H18" s="48">
        <f>+'COC-302 N'!H17</f>
        <v>0</v>
      </c>
      <c r="I18" s="48">
        <f>+'COG-303 N'!H17</f>
        <v>0</v>
      </c>
      <c r="J18" s="48">
        <f>+'CEP-304 N'!H17</f>
        <v>0</v>
      </c>
      <c r="K18" s="48">
        <f>+'CSH-305 N'!H17</f>
        <v>0</v>
      </c>
      <c r="L18" s="48">
        <f>+'GCI-306 N'!H17</f>
        <v>0</v>
      </c>
      <c r="M18" s="48">
        <f>+'AEF-307 N'!H17</f>
        <v>0</v>
      </c>
      <c r="N18" s="48">
        <f>+'TMG-308 N'!H17</f>
        <v>0</v>
      </c>
      <c r="O18" s="42"/>
      <c r="P18" s="42"/>
      <c r="Q18" s="42"/>
      <c r="R18" s="42"/>
      <c r="S18" s="42"/>
      <c r="T18" s="42"/>
      <c r="U18" s="42"/>
      <c r="V18" s="42" t="str">
        <f t="shared" si="0"/>
        <v>Abandono</v>
      </c>
    </row>
    <row r="19" spans="2:22" ht="12" customHeight="1" x14ac:dyDescent="0.35">
      <c r="B19" s="4"/>
      <c r="C19" s="59">
        <v>6</v>
      </c>
      <c r="D19" s="162" t="str">
        <f>+'COA-301 N'!D18:E18</f>
        <v>Colque Ayala Carla Lorena</v>
      </c>
      <c r="E19" s="104"/>
      <c r="F19" s="78">
        <v>7361623</v>
      </c>
      <c r="G19" s="48">
        <v>61</v>
      </c>
      <c r="H19" s="48">
        <f>+'COC-302 N'!H18</f>
        <v>72</v>
      </c>
      <c r="I19" s="48">
        <f>+'COG-303 N'!H18</f>
        <v>64</v>
      </c>
      <c r="J19" s="48">
        <f>+'CEP-304 N'!H18</f>
        <v>71</v>
      </c>
      <c r="K19" s="48">
        <f>+'CSH-305 N'!H18</f>
        <v>71</v>
      </c>
      <c r="L19" s="48">
        <f>+'GCI-306 N'!H18</f>
        <v>70</v>
      </c>
      <c r="M19" s="48">
        <v>61</v>
      </c>
      <c r="N19" s="48">
        <f>+'TMG-308 N'!H18</f>
        <v>70</v>
      </c>
      <c r="O19" s="42"/>
      <c r="P19" s="42"/>
      <c r="Q19" s="42"/>
      <c r="R19" s="42"/>
      <c r="S19" s="42"/>
      <c r="T19" s="42"/>
      <c r="U19" s="42"/>
      <c r="V19" s="42" t="str">
        <f t="shared" si="0"/>
        <v>Aprobado</v>
      </c>
    </row>
    <row r="20" spans="2:22" ht="14.25" customHeight="1" x14ac:dyDescent="0.35">
      <c r="B20" s="4"/>
      <c r="C20" s="59">
        <v>7</v>
      </c>
      <c r="D20" s="162" t="str">
        <f>+'COA-301 N'!D19:E19</f>
        <v>Condori Titichoca Dieter Jherson</v>
      </c>
      <c r="E20" s="104"/>
      <c r="F20" s="78" t="s">
        <v>175</v>
      </c>
      <c r="G20" s="48">
        <f>+'COA-301 N'!H19</f>
        <v>0</v>
      </c>
      <c r="H20" s="48">
        <f>+'COC-302 N'!H19</f>
        <v>0</v>
      </c>
      <c r="I20" s="48">
        <f>+'COG-303 N'!H19</f>
        <v>0</v>
      </c>
      <c r="J20" s="48">
        <f>+'CEP-304 N'!H19</f>
        <v>0</v>
      </c>
      <c r="K20" s="48">
        <f>+'CSH-305 N'!H19</f>
        <v>0</v>
      </c>
      <c r="L20" s="48">
        <f>+'GCI-306 N'!H19</f>
        <v>0</v>
      </c>
      <c r="M20" s="48">
        <f>+'AEF-307 N'!H19</f>
        <v>0</v>
      </c>
      <c r="N20" s="48">
        <f>+'TMG-308 N'!H19</f>
        <v>0</v>
      </c>
      <c r="O20" s="42"/>
      <c r="P20" s="42"/>
      <c r="Q20" s="42"/>
      <c r="R20" s="42"/>
      <c r="S20" s="42"/>
      <c r="T20" s="42"/>
      <c r="U20" s="42"/>
      <c r="V20" s="42" t="str">
        <f t="shared" si="0"/>
        <v>Abandono</v>
      </c>
    </row>
    <row r="21" spans="2:22" ht="14.25" customHeight="1" x14ac:dyDescent="0.35">
      <c r="B21" s="4"/>
      <c r="C21" s="59">
        <v>8</v>
      </c>
      <c r="D21" s="162" t="str">
        <f>+'COA-301 N'!D20:E20</f>
        <v>Del Carpio Lora Marisela</v>
      </c>
      <c r="E21" s="104"/>
      <c r="F21" s="78" t="s">
        <v>176</v>
      </c>
      <c r="G21" s="48">
        <f>+'COA-301 N'!H20</f>
        <v>0</v>
      </c>
      <c r="H21" s="48">
        <f>+'COC-302 N'!H20</f>
        <v>0</v>
      </c>
      <c r="I21" s="48">
        <f>+'COG-303 N'!H20</f>
        <v>0</v>
      </c>
      <c r="J21" s="48">
        <f>+'CEP-304 N'!H20</f>
        <v>0</v>
      </c>
      <c r="K21" s="48">
        <f>+'CSH-305 N'!H20</f>
        <v>0</v>
      </c>
      <c r="L21" s="48">
        <f>+'GCI-306 N'!H20</f>
        <v>0</v>
      </c>
      <c r="M21" s="48">
        <f>+'AEF-307 N'!H20</f>
        <v>0</v>
      </c>
      <c r="N21" s="48">
        <f>+'TMG-308 N'!H20</f>
        <v>0</v>
      </c>
      <c r="O21" s="42"/>
      <c r="P21" s="42"/>
      <c r="Q21" s="42"/>
      <c r="R21" s="42"/>
      <c r="S21" s="42"/>
      <c r="T21" s="42"/>
      <c r="U21" s="42"/>
      <c r="V21" s="42" t="str">
        <f t="shared" si="0"/>
        <v>Abandono</v>
      </c>
    </row>
    <row r="22" spans="2:22" ht="14.25" customHeight="1" x14ac:dyDescent="0.35">
      <c r="B22" s="4"/>
      <c r="C22" s="59">
        <v>9</v>
      </c>
      <c r="D22" s="162" t="str">
        <f>+'COA-301 N'!D21:E21</f>
        <v>Felipez Veliz Ronald</v>
      </c>
      <c r="E22" s="104"/>
      <c r="F22" s="78" t="s">
        <v>177</v>
      </c>
      <c r="G22" s="48">
        <f>+'COA-301 N'!H21</f>
        <v>62</v>
      </c>
      <c r="H22" s="48">
        <f>+'COC-302 N'!H21</f>
        <v>65</v>
      </c>
      <c r="I22" s="48">
        <f>+'COG-303 N'!H21</f>
        <v>85</v>
      </c>
      <c r="J22" s="48">
        <f>+'CEP-304 N'!H21</f>
        <v>63</v>
      </c>
      <c r="K22" s="48">
        <f>+'CSH-305 N'!H21</f>
        <v>64</v>
      </c>
      <c r="L22" s="48">
        <f>+'GCI-306 N'!H21</f>
        <v>87</v>
      </c>
      <c r="M22" s="48">
        <v>61</v>
      </c>
      <c r="N22" s="48">
        <f>+'TMG-308 N'!H21</f>
        <v>63</v>
      </c>
      <c r="O22" s="42"/>
      <c r="P22" s="42"/>
      <c r="Q22" s="42"/>
      <c r="R22" s="42"/>
      <c r="S22" s="42"/>
      <c r="T22" s="42"/>
      <c r="U22" s="42"/>
      <c r="V22" s="42" t="str">
        <f t="shared" si="0"/>
        <v>Aprobado</v>
      </c>
    </row>
    <row r="23" spans="2:22" ht="14.25" customHeight="1" x14ac:dyDescent="0.35">
      <c r="B23" s="4"/>
      <c r="C23" s="59">
        <v>10</v>
      </c>
      <c r="D23" s="162" t="str">
        <f>+'COA-301 N'!D22:E22</f>
        <v>Fulguera Callata Jonathan</v>
      </c>
      <c r="E23" s="104"/>
      <c r="F23" s="78">
        <v>7321466</v>
      </c>
      <c r="G23" s="48">
        <f>+'COA-301 N'!H22</f>
        <v>90</v>
      </c>
      <c r="H23" s="48">
        <f>+'COC-302 N'!H22</f>
        <v>88</v>
      </c>
      <c r="I23" s="48">
        <f>+'COG-303 N'!H22</f>
        <v>71</v>
      </c>
      <c r="J23" s="48">
        <f>+'CEP-304 N'!H22</f>
        <v>85</v>
      </c>
      <c r="K23" s="48">
        <f>+'CSH-305 N'!H22</f>
        <v>74</v>
      </c>
      <c r="L23" s="48">
        <f>+'GCI-306 N'!H22</f>
        <v>61</v>
      </c>
      <c r="M23" s="48">
        <f>+'AEF-307 N'!H22</f>
        <v>90</v>
      </c>
      <c r="N23" s="48">
        <f>+'TMG-308 N'!H22</f>
        <v>82</v>
      </c>
      <c r="O23" s="42"/>
      <c r="P23" s="42"/>
      <c r="Q23" s="42"/>
      <c r="R23" s="42"/>
      <c r="S23" s="42"/>
      <c r="T23" s="42"/>
      <c r="U23" s="42"/>
      <c r="V23" s="42" t="str">
        <f t="shared" si="0"/>
        <v>Aprobado</v>
      </c>
    </row>
    <row r="24" spans="2:22" ht="14.25" customHeight="1" x14ac:dyDescent="0.35">
      <c r="B24" s="4"/>
      <c r="C24" s="59">
        <v>11</v>
      </c>
      <c r="D24" s="162" t="str">
        <f>+'COA-301 N'!D23:E23</f>
        <v>Huarayo Cunurana Maribel</v>
      </c>
      <c r="E24" s="104"/>
      <c r="F24" s="78">
        <v>7286269</v>
      </c>
      <c r="G24" s="48">
        <f>+'COA-301 N'!H23</f>
        <v>66</v>
      </c>
      <c r="H24" s="48">
        <f>+'COC-302 N'!H23</f>
        <v>81</v>
      </c>
      <c r="I24" s="48">
        <f>+'COG-303 N'!H23</f>
        <v>65</v>
      </c>
      <c r="J24" s="48">
        <f>+'CEP-304 N'!H23</f>
        <v>81</v>
      </c>
      <c r="K24" s="48">
        <f>+'CSH-305 N'!H23</f>
        <v>64</v>
      </c>
      <c r="L24" s="48">
        <f>+'GCI-306 N'!H23</f>
        <v>73</v>
      </c>
      <c r="M24" s="48">
        <f>+'AEF-307 N'!H23</f>
        <v>65</v>
      </c>
      <c r="N24" s="48">
        <f>+'TMG-308 N'!H23</f>
        <v>69</v>
      </c>
      <c r="O24" s="42"/>
      <c r="P24" s="42"/>
      <c r="Q24" s="42"/>
      <c r="R24" s="42"/>
      <c r="S24" s="42"/>
      <c r="T24" s="42"/>
      <c r="U24" s="42"/>
      <c r="V24" s="42" t="str">
        <f t="shared" si="0"/>
        <v>Aprobado</v>
      </c>
    </row>
    <row r="25" spans="2:22" ht="14.25" customHeight="1" x14ac:dyDescent="0.35">
      <c r="B25" s="4"/>
      <c r="C25" s="59">
        <v>12</v>
      </c>
      <c r="D25" s="162" t="str">
        <f>+'COA-301 N'!D24:E24</f>
        <v>Jamillo Cruz Jenny Laura</v>
      </c>
      <c r="E25" s="104"/>
      <c r="F25" s="78" t="s">
        <v>178</v>
      </c>
      <c r="G25" s="48">
        <f>+'COA-301 N'!H24</f>
        <v>0</v>
      </c>
      <c r="H25" s="48">
        <f>+'COC-302 N'!H24</f>
        <v>0</v>
      </c>
      <c r="I25" s="48">
        <f>+'COG-303 N'!H24</f>
        <v>0</v>
      </c>
      <c r="J25" s="48">
        <f>+'CEP-304 N'!H24</f>
        <v>0</v>
      </c>
      <c r="K25" s="48">
        <f>+'CSH-305 N'!H24</f>
        <v>0</v>
      </c>
      <c r="L25" s="48">
        <f>+'GCI-306 N'!H24</f>
        <v>0</v>
      </c>
      <c r="M25" s="48">
        <f>+'AEF-307 N'!H24</f>
        <v>0</v>
      </c>
      <c r="N25" s="48">
        <f>+'TMG-308 N'!H24</f>
        <v>0</v>
      </c>
      <c r="O25" s="42"/>
      <c r="P25" s="42"/>
      <c r="Q25" s="42"/>
      <c r="R25" s="42"/>
      <c r="S25" s="42"/>
      <c r="T25" s="42"/>
      <c r="U25" s="42"/>
      <c r="V25" s="42" t="str">
        <f t="shared" si="0"/>
        <v>Abandono</v>
      </c>
    </row>
    <row r="26" spans="2:22" ht="14.25" customHeight="1" x14ac:dyDescent="0.35">
      <c r="B26" s="4"/>
      <c r="C26" s="59">
        <v>13</v>
      </c>
      <c r="D26" s="162" t="str">
        <f>+'COA-301 N'!D25:E25</f>
        <v>Loaiza Lopez Jaime</v>
      </c>
      <c r="E26" s="104"/>
      <c r="F26" s="78" t="s">
        <v>179</v>
      </c>
      <c r="G26" s="48">
        <f>+'COA-301 N'!H25</f>
        <v>0</v>
      </c>
      <c r="H26" s="48">
        <f>+'COC-302 N'!H25</f>
        <v>0</v>
      </c>
      <c r="I26" s="48">
        <f>+'COG-303 N'!H25</f>
        <v>0</v>
      </c>
      <c r="J26" s="48">
        <f>+'CEP-304 N'!H25</f>
        <v>0</v>
      </c>
      <c r="K26" s="48">
        <f>+'CSH-305 N'!H25</f>
        <v>0</v>
      </c>
      <c r="L26" s="48">
        <f>+'GCI-306 N'!H25</f>
        <v>0</v>
      </c>
      <c r="M26" s="48">
        <f>+'AEF-307 N'!H25</f>
        <v>0</v>
      </c>
      <c r="N26" s="48">
        <f>+'TMG-308 N'!H25</f>
        <v>0</v>
      </c>
      <c r="O26" s="42"/>
      <c r="P26" s="42"/>
      <c r="Q26" s="42"/>
      <c r="R26" s="42"/>
      <c r="S26" s="42"/>
      <c r="T26" s="42"/>
      <c r="U26" s="42"/>
      <c r="V26" s="42" t="str">
        <f t="shared" si="0"/>
        <v>Abandono</v>
      </c>
    </row>
    <row r="27" spans="2:22" ht="14.25" customHeight="1" x14ac:dyDescent="0.35">
      <c r="B27" s="4"/>
      <c r="C27" s="59">
        <v>14</v>
      </c>
      <c r="D27" s="162" t="str">
        <f>+'COA-301 N'!D26:E26</f>
        <v>Lopez Sausiri Luis Alberto</v>
      </c>
      <c r="E27" s="104"/>
      <c r="F27" s="78">
        <v>7407042</v>
      </c>
      <c r="G27" s="48">
        <f>+'COA-301 N'!H26</f>
        <v>70</v>
      </c>
      <c r="H27" s="48">
        <f>+'COC-302 N'!H26</f>
        <v>91</v>
      </c>
      <c r="I27" s="48">
        <f>+'COG-303 N'!H26</f>
        <v>72</v>
      </c>
      <c r="J27" s="48">
        <f>+'CEP-304 N'!H26</f>
        <v>89</v>
      </c>
      <c r="K27" s="48">
        <f>+'CSH-305 N'!H26</f>
        <v>73</v>
      </c>
      <c r="L27" s="48">
        <f>+'GCI-306 N'!H26</f>
        <v>73</v>
      </c>
      <c r="M27" s="48">
        <f>+'AEF-307 N'!H26</f>
        <v>75</v>
      </c>
      <c r="N27" s="48">
        <f>+'TMG-308 N'!H26</f>
        <v>81</v>
      </c>
      <c r="O27" s="42"/>
      <c r="P27" s="42"/>
      <c r="Q27" s="42"/>
      <c r="R27" s="42"/>
      <c r="S27" s="42"/>
      <c r="T27" s="42"/>
      <c r="U27" s="42"/>
      <c r="V27" s="42" t="str">
        <f t="shared" si="0"/>
        <v>Aprobado</v>
      </c>
    </row>
    <row r="28" spans="2:22" ht="14.25" customHeight="1" x14ac:dyDescent="0.35">
      <c r="B28" s="4"/>
      <c r="C28" s="59">
        <v>15</v>
      </c>
      <c r="D28" s="162" t="str">
        <f>+'COA-301 N'!D27:E27</f>
        <v>Martinez Mamani Gladis</v>
      </c>
      <c r="E28" s="104"/>
      <c r="F28" s="78" t="s">
        <v>180</v>
      </c>
      <c r="G28" s="48">
        <f>+'COA-301 N'!H27</f>
        <v>0</v>
      </c>
      <c r="H28" s="48">
        <f>+'COC-302 N'!H27</f>
        <v>0</v>
      </c>
      <c r="I28" s="48">
        <f>+'COG-303 N'!H27</f>
        <v>0</v>
      </c>
      <c r="J28" s="48">
        <f>+'CEP-304 N'!H27</f>
        <v>0</v>
      </c>
      <c r="K28" s="48">
        <f>+'CSH-305 N'!H27</f>
        <v>0</v>
      </c>
      <c r="L28" s="48">
        <f>+'GCI-306 N'!H27</f>
        <v>0</v>
      </c>
      <c r="M28" s="48">
        <f>+'AEF-307 N'!H27</f>
        <v>0</v>
      </c>
      <c r="N28" s="48">
        <f>+'TMG-308 N'!H27</f>
        <v>0</v>
      </c>
      <c r="O28" s="42"/>
      <c r="P28" s="42"/>
      <c r="Q28" s="42"/>
      <c r="R28" s="42"/>
      <c r="S28" s="42"/>
      <c r="T28" s="42"/>
      <c r="U28" s="42"/>
      <c r="V28" s="42" t="str">
        <f t="shared" si="0"/>
        <v>Abandono</v>
      </c>
    </row>
    <row r="29" spans="2:22" ht="14.25" customHeight="1" x14ac:dyDescent="0.35">
      <c r="B29" s="4"/>
      <c r="C29" s="59">
        <v>16</v>
      </c>
      <c r="D29" s="162" t="str">
        <f>+'COA-301 N'!D28:E28</f>
        <v>Poma Condori Juan Luis</v>
      </c>
      <c r="E29" s="104"/>
      <c r="F29" s="78" t="s">
        <v>181</v>
      </c>
      <c r="G29" s="48">
        <f>+'COA-301 N'!H28</f>
        <v>63</v>
      </c>
      <c r="H29" s="48">
        <f>+'COC-302 N'!H28</f>
        <v>62</v>
      </c>
      <c r="I29" s="48">
        <f>+'COG-303 N'!H28</f>
        <v>61</v>
      </c>
      <c r="J29" s="48">
        <f>+'CEP-304 N'!H28</f>
        <v>62</v>
      </c>
      <c r="K29" s="48">
        <f>+'CSH-305 N'!H28</f>
        <v>62</v>
      </c>
      <c r="L29" s="48">
        <f>+'GCI-306 N'!H28</f>
        <v>61</v>
      </c>
      <c r="M29" s="48">
        <v>61</v>
      </c>
      <c r="N29" s="48">
        <v>61</v>
      </c>
      <c r="O29" s="42"/>
      <c r="P29" s="42"/>
      <c r="Q29" s="42"/>
      <c r="R29" s="42"/>
      <c r="S29" s="42"/>
      <c r="T29" s="42"/>
      <c r="U29" s="42"/>
      <c r="V29" s="42" t="str">
        <f t="shared" si="0"/>
        <v>Aprobado</v>
      </c>
    </row>
    <row r="30" spans="2:22" ht="14.25" customHeight="1" x14ac:dyDescent="0.35">
      <c r="B30" s="4"/>
      <c r="C30" s="59">
        <v>17</v>
      </c>
      <c r="D30" s="162" t="str">
        <f>+'COA-301 N'!D29:E29</f>
        <v>Puma Choque Veronica</v>
      </c>
      <c r="E30" s="104"/>
      <c r="F30" s="78" t="s">
        <v>182</v>
      </c>
      <c r="G30" s="48">
        <f>+'COA-301 N'!H29</f>
        <v>61</v>
      </c>
      <c r="H30" s="48">
        <f>+'COC-302 N'!H29</f>
        <v>90</v>
      </c>
      <c r="I30" s="48">
        <f>+'COG-303 N'!H29</f>
        <v>81</v>
      </c>
      <c r="J30" s="48">
        <f>+'CEP-304 N'!H29</f>
        <v>85</v>
      </c>
      <c r="K30" s="48">
        <f>+'CSH-305 N'!H29</f>
        <v>89</v>
      </c>
      <c r="L30" s="48">
        <f>+'GCI-306 N'!H29</f>
        <v>88</v>
      </c>
      <c r="M30" s="48">
        <f>+'AEF-307 N'!H29</f>
        <v>62</v>
      </c>
      <c r="N30" s="48">
        <f>+'TMG-308 N'!H29</f>
        <v>89</v>
      </c>
      <c r="O30" s="42"/>
      <c r="P30" s="42"/>
      <c r="Q30" s="42"/>
      <c r="R30" s="42"/>
      <c r="S30" s="42"/>
      <c r="T30" s="42"/>
      <c r="U30" s="42"/>
      <c r="V30" s="42" t="str">
        <f t="shared" si="0"/>
        <v>Aprobado</v>
      </c>
    </row>
    <row r="31" spans="2:22" ht="12.75" customHeight="1" x14ac:dyDescent="0.35">
      <c r="B31" s="4"/>
      <c r="C31" s="59">
        <v>18</v>
      </c>
      <c r="D31" s="162" t="str">
        <f>+'COA-301 N'!D30:E30</f>
        <v>Quinta Quisbert Melinda Cecilia</v>
      </c>
      <c r="E31" s="104"/>
      <c r="F31" s="78">
        <v>7353580</v>
      </c>
      <c r="G31" s="48">
        <f>+'COA-301 N'!H30</f>
        <v>70</v>
      </c>
      <c r="H31" s="48">
        <f>+'COC-302 N'!H30</f>
        <v>65</v>
      </c>
      <c r="I31" s="48">
        <v>61</v>
      </c>
      <c r="J31" s="48">
        <f>+'CEP-304 N'!H30</f>
        <v>62</v>
      </c>
      <c r="K31" s="48">
        <f>+'CSH-305 N'!H30</f>
        <v>85</v>
      </c>
      <c r="L31" s="48">
        <v>61</v>
      </c>
      <c r="M31" s="48">
        <f>+'AEF-307 N'!H30</f>
        <v>80</v>
      </c>
      <c r="N31" s="48">
        <f>+'TMG-308 N'!H30</f>
        <v>82</v>
      </c>
      <c r="O31" s="42"/>
      <c r="P31" s="42"/>
      <c r="Q31" s="42"/>
      <c r="R31" s="42"/>
      <c r="S31" s="42"/>
      <c r="T31" s="42"/>
      <c r="U31" s="42"/>
      <c r="V31" s="42" t="str">
        <f t="shared" si="0"/>
        <v>Aprobado</v>
      </c>
    </row>
    <row r="32" spans="2:22" ht="14.25" customHeight="1" x14ac:dyDescent="0.35">
      <c r="B32" s="4"/>
      <c r="C32" s="59">
        <v>19</v>
      </c>
      <c r="D32" s="162" t="str">
        <f>+'COA-301 N'!D31:E31</f>
        <v>Quiñones Rueda Israel</v>
      </c>
      <c r="E32" s="104"/>
      <c r="F32" s="78">
        <v>7298729</v>
      </c>
      <c r="G32" s="48">
        <f>+'COA-301 N'!H31</f>
        <v>61</v>
      </c>
      <c r="H32" s="48">
        <f>+'COC-302 N'!H31</f>
        <v>70</v>
      </c>
      <c r="I32" s="48">
        <f>+'COG-303 N'!H31</f>
        <v>85</v>
      </c>
      <c r="J32" s="48">
        <f>+'CEP-304 N'!H31</f>
        <v>79</v>
      </c>
      <c r="K32" s="48">
        <f>+'CSH-305 N'!H31</f>
        <v>80</v>
      </c>
      <c r="L32" s="48">
        <f>+'GCI-306 N'!H31</f>
        <v>88</v>
      </c>
      <c r="M32" s="48">
        <f>+'AEF-307 N'!H31</f>
        <v>71</v>
      </c>
      <c r="N32" s="48">
        <f>+'TMG-308 N'!H31</f>
        <v>70</v>
      </c>
      <c r="O32" s="42"/>
      <c r="P32" s="42"/>
      <c r="Q32" s="42"/>
      <c r="R32" s="42"/>
      <c r="S32" s="42"/>
      <c r="T32" s="42"/>
      <c r="U32" s="42"/>
      <c r="V32" s="42" t="str">
        <f t="shared" si="0"/>
        <v>Aprobado</v>
      </c>
    </row>
    <row r="33" spans="2:22" ht="12.75" customHeight="1" x14ac:dyDescent="0.35">
      <c r="B33" s="4"/>
      <c r="C33" s="59">
        <v>20</v>
      </c>
      <c r="D33" s="162" t="str">
        <f>+'COA-301 N'!D32:E32</f>
        <v>Quispe Quispe Jorge Luis</v>
      </c>
      <c r="E33" s="104"/>
      <c r="F33" s="78" t="s">
        <v>183</v>
      </c>
      <c r="G33" s="48">
        <f>+'COA-301 N'!H32</f>
        <v>66</v>
      </c>
      <c r="H33" s="48">
        <f>+'COC-302 N'!H32</f>
        <v>85</v>
      </c>
      <c r="I33" s="48">
        <f>+'COG-303 N'!H32</f>
        <v>68</v>
      </c>
      <c r="J33" s="48">
        <f>+'CEP-304 N'!H32</f>
        <v>83</v>
      </c>
      <c r="K33" s="48">
        <f>+'CSH-305 N'!H32</f>
        <v>82</v>
      </c>
      <c r="L33" s="48">
        <f>+'GCI-306 N'!H32</f>
        <v>74</v>
      </c>
      <c r="M33" s="48">
        <f>+'AEF-307 N'!H32</f>
        <v>65</v>
      </c>
      <c r="N33" s="48">
        <f>+'TMG-308 N'!H32</f>
        <v>79</v>
      </c>
      <c r="O33" s="42"/>
      <c r="P33" s="42"/>
      <c r="Q33" s="42"/>
      <c r="R33" s="42"/>
      <c r="S33" s="42"/>
      <c r="T33" s="42"/>
      <c r="U33" s="42"/>
      <c r="V33" s="42" t="str">
        <f t="shared" si="0"/>
        <v>Aprobado</v>
      </c>
    </row>
    <row r="34" spans="2:22" ht="12.75" customHeight="1" x14ac:dyDescent="0.35">
      <c r="B34" s="4"/>
      <c r="C34" s="59">
        <v>21</v>
      </c>
      <c r="D34" s="162" t="str">
        <f>+'COA-301 N'!D33:E33</f>
        <v>Riva Loroño Jhoana Celina</v>
      </c>
      <c r="E34" s="104"/>
      <c r="F34" s="79">
        <v>7413345</v>
      </c>
      <c r="G34" s="48">
        <f>+'COA-301 N'!H33</f>
        <v>61</v>
      </c>
      <c r="H34" s="48">
        <f>+'COC-302 N'!H33</f>
        <v>73</v>
      </c>
      <c r="I34" s="48">
        <v>61</v>
      </c>
      <c r="J34" s="48">
        <f>+'CEP-304 N'!H33</f>
        <v>84</v>
      </c>
      <c r="K34" s="48">
        <f>+'CSH-305 N'!H33</f>
        <v>70</v>
      </c>
      <c r="L34" s="48">
        <f>+'GCI-306 N'!H33</f>
        <v>70</v>
      </c>
      <c r="M34" s="48">
        <v>61</v>
      </c>
      <c r="N34" s="48">
        <f>+'TMG-308 N'!H33</f>
        <v>76</v>
      </c>
      <c r="O34" s="42"/>
      <c r="P34" s="42"/>
      <c r="Q34" s="42"/>
      <c r="R34" s="42"/>
      <c r="S34" s="42"/>
      <c r="T34" s="42"/>
      <c r="U34" s="42"/>
      <c r="V34" s="42" t="str">
        <f t="shared" si="0"/>
        <v>Aprobado</v>
      </c>
    </row>
    <row r="35" spans="2:22" ht="12.75" customHeight="1" x14ac:dyDescent="0.35">
      <c r="B35" s="4"/>
      <c r="C35" s="59">
        <v>22</v>
      </c>
      <c r="D35" s="162" t="str">
        <f>+'COA-301 N'!D34:E34</f>
        <v>Romero Rodriguez Victor Hugo</v>
      </c>
      <c r="E35" s="104"/>
      <c r="F35" s="79" t="s">
        <v>184</v>
      </c>
      <c r="G35" s="48">
        <f>+'COA-301 N'!H34</f>
        <v>63</v>
      </c>
      <c r="H35" s="48">
        <f>+'COC-302 N'!H34</f>
        <v>61</v>
      </c>
      <c r="I35" s="48">
        <f>+'COG-303 N'!H34</f>
        <v>61</v>
      </c>
      <c r="J35" s="48">
        <f>+'CEP-304 N'!H34</f>
        <v>64</v>
      </c>
      <c r="K35" s="48">
        <f>+'CSH-305 N'!H34</f>
        <v>61</v>
      </c>
      <c r="L35" s="48">
        <f>+'GCI-306 N'!H34</f>
        <v>64</v>
      </c>
      <c r="M35" s="48">
        <v>61</v>
      </c>
      <c r="N35" s="48">
        <v>61</v>
      </c>
      <c r="O35" s="42"/>
      <c r="P35" s="42"/>
      <c r="Q35" s="42"/>
      <c r="R35" s="42"/>
      <c r="S35" s="42"/>
      <c r="T35" s="42"/>
      <c r="U35" s="42"/>
      <c r="V35" s="42" t="str">
        <f t="shared" si="0"/>
        <v>Aprobado</v>
      </c>
    </row>
    <row r="36" spans="2:22" ht="14.25" customHeight="1" x14ac:dyDescent="0.35">
      <c r="B36" s="4"/>
      <c r="C36" s="59">
        <v>23</v>
      </c>
      <c r="D36" s="162" t="str">
        <f>+'COA-301 N'!D35:E35</f>
        <v>Santos Tola Carla Alejandra</v>
      </c>
      <c r="E36" s="104"/>
      <c r="F36" s="79" t="s">
        <v>185</v>
      </c>
      <c r="G36" s="48">
        <f>+'COA-301 N'!H35</f>
        <v>62</v>
      </c>
      <c r="H36" s="48">
        <f>+'COC-302 N'!H35</f>
        <v>61</v>
      </c>
      <c r="I36" s="48">
        <f>+'COG-303 N'!H35</f>
        <v>63</v>
      </c>
      <c r="J36" s="48">
        <f>+'CEP-304 N'!H35</f>
        <v>63</v>
      </c>
      <c r="K36" s="48">
        <f>+'CSH-305 N'!H35</f>
        <v>63</v>
      </c>
      <c r="L36" s="48">
        <f>+'GCI-306 N'!H35</f>
        <v>63</v>
      </c>
      <c r="M36" s="48">
        <v>61</v>
      </c>
      <c r="N36" s="48">
        <v>61</v>
      </c>
      <c r="O36" s="42"/>
      <c r="P36" s="42"/>
      <c r="Q36" s="42"/>
      <c r="R36" s="42"/>
      <c r="S36" s="42"/>
      <c r="T36" s="42"/>
      <c r="U36" s="42"/>
      <c r="V36" s="42" t="str">
        <f t="shared" si="0"/>
        <v>Aprobado</v>
      </c>
    </row>
    <row r="37" spans="2:22" ht="15" customHeight="1" x14ac:dyDescent="0.35">
      <c r="B37" s="4"/>
      <c r="C37" s="59">
        <v>24</v>
      </c>
      <c r="D37" s="162" t="str">
        <f>+'COA-301 N'!D36:E36</f>
        <v>Tito Yucra Leiddy Olimpia</v>
      </c>
      <c r="E37" s="104"/>
      <c r="F37" s="79" t="s">
        <v>186</v>
      </c>
      <c r="G37" s="48">
        <f>+'COA-301 N'!H36</f>
        <v>85</v>
      </c>
      <c r="H37" s="48">
        <f>+'COC-302 N'!H36</f>
        <v>92</v>
      </c>
      <c r="I37" s="48">
        <f>+'COG-303 N'!H36</f>
        <v>76</v>
      </c>
      <c r="J37" s="48">
        <f>+'CEP-304 N'!H36</f>
        <v>95</v>
      </c>
      <c r="K37" s="48">
        <f>+'CSH-305 N'!H36</f>
        <v>79</v>
      </c>
      <c r="L37" s="48">
        <f>+'GCI-306 N'!H36</f>
        <v>86</v>
      </c>
      <c r="M37" s="48">
        <f>+'AEF-307 N'!H36</f>
        <v>90</v>
      </c>
      <c r="N37" s="48">
        <f>+'TMG-308 N'!H36</f>
        <v>85</v>
      </c>
      <c r="O37" s="42"/>
      <c r="P37" s="42"/>
      <c r="Q37" s="42"/>
      <c r="R37" s="42"/>
      <c r="S37" s="42"/>
      <c r="T37" s="42"/>
      <c r="U37" s="42"/>
      <c r="V37" s="42" t="str">
        <f t="shared" si="0"/>
        <v>Aprobado</v>
      </c>
    </row>
    <row r="38" spans="2:22" ht="14.25" customHeight="1" x14ac:dyDescent="0.35">
      <c r="B38" s="4"/>
      <c r="C38" s="59">
        <v>25</v>
      </c>
      <c r="D38" s="162" t="str">
        <f>+'COA-301 N'!D37:E37</f>
        <v>Virreira Cano Nhataly Alizon</v>
      </c>
      <c r="E38" s="104"/>
      <c r="F38" s="79" t="s">
        <v>187</v>
      </c>
      <c r="G38" s="48">
        <f>+'COA-301 N'!H37</f>
        <v>90</v>
      </c>
      <c r="H38" s="48">
        <f>+'COC-302 N'!H37</f>
        <v>70</v>
      </c>
      <c r="I38" s="48">
        <f>+'COG-303 N'!H37</f>
        <v>68</v>
      </c>
      <c r="J38" s="48">
        <f>+'CEP-304 N'!H37</f>
        <v>77</v>
      </c>
      <c r="K38" s="48">
        <f>+'CSH-305 N'!H37</f>
        <v>67</v>
      </c>
      <c r="L38" s="48">
        <v>61</v>
      </c>
      <c r="M38" s="48">
        <f>+'AEF-307 N'!H37</f>
        <v>92</v>
      </c>
      <c r="N38" s="48">
        <f>+'TMG-308 N'!H37</f>
        <v>62</v>
      </c>
      <c r="O38" s="42"/>
      <c r="P38" s="42"/>
      <c r="Q38" s="42"/>
      <c r="R38" s="42"/>
      <c r="S38" s="42"/>
      <c r="T38" s="42"/>
      <c r="U38" s="42"/>
      <c r="V38" s="42" t="str">
        <f t="shared" si="0"/>
        <v>Aprobado</v>
      </c>
    </row>
    <row r="39" spans="2:22" ht="13.5" customHeight="1" x14ac:dyDescent="0.35">
      <c r="B39" s="4"/>
      <c r="C39" s="59"/>
      <c r="D39" s="162"/>
      <c r="E39" s="104"/>
      <c r="F39" s="56"/>
      <c r="G39" s="48"/>
      <c r="H39" s="48"/>
      <c r="I39" s="48"/>
      <c r="J39" s="48"/>
      <c r="K39" s="48"/>
      <c r="L39" s="48"/>
      <c r="M39" s="48"/>
      <c r="N39" s="48"/>
      <c r="O39" s="42"/>
      <c r="P39" s="42"/>
      <c r="Q39" s="42"/>
      <c r="R39" s="42"/>
      <c r="S39" s="42"/>
      <c r="T39" s="42"/>
      <c r="U39" s="42"/>
      <c r="V39" s="42"/>
    </row>
    <row r="40" spans="2:22" ht="12" customHeight="1" x14ac:dyDescent="0.35">
      <c r="B40" s="4"/>
      <c r="C40" s="59"/>
      <c r="D40" s="162"/>
      <c r="E40" s="104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2:22" ht="12" customHeight="1" x14ac:dyDescent="0.35">
      <c r="B41" s="4"/>
      <c r="C41" s="59"/>
      <c r="D41" s="162"/>
      <c r="E41" s="104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2:22" ht="12" customHeight="1" x14ac:dyDescent="0.35">
      <c r="B42" s="4"/>
      <c r="C42" s="59"/>
      <c r="D42" s="162"/>
      <c r="E42" s="10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2:22" ht="12" customHeight="1" x14ac:dyDescent="0.35">
      <c r="B43" s="4"/>
      <c r="C43" s="59"/>
      <c r="D43" s="162"/>
      <c r="E43" s="10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2:22" x14ac:dyDescent="0.35">
      <c r="B44" s="4"/>
      <c r="C44" s="41" t="s">
        <v>14</v>
      </c>
    </row>
    <row r="45" spans="2:22" x14ac:dyDescent="0.35">
      <c r="B45" s="4"/>
      <c r="C45" s="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2:22" x14ac:dyDescent="0.35">
      <c r="B46" s="4"/>
      <c r="C46" s="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2:22" x14ac:dyDescent="0.35">
      <c r="B47" s="4"/>
      <c r="C47" s="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2:22" x14ac:dyDescent="0.35">
      <c r="B48" s="4"/>
      <c r="C48" s="4"/>
      <c r="D48" s="14"/>
      <c r="E48" s="102" t="s">
        <v>91</v>
      </c>
      <c r="F48" s="102"/>
      <c r="G48" s="76"/>
      <c r="H48" s="102" t="s">
        <v>86</v>
      </c>
      <c r="I48" s="102"/>
      <c r="J48" s="14"/>
      <c r="K48" s="76"/>
      <c r="L48" s="102" t="s">
        <v>91</v>
      </c>
      <c r="M48" s="102"/>
      <c r="N48" s="102"/>
      <c r="O48" s="14"/>
      <c r="P48" s="103"/>
      <c r="Q48" s="103"/>
      <c r="R48" s="103"/>
      <c r="S48" s="14"/>
      <c r="T48" s="14"/>
      <c r="U48" s="14"/>
      <c r="V48" s="14"/>
    </row>
    <row r="49" spans="2:22" x14ac:dyDescent="0.35">
      <c r="B49" s="4"/>
      <c r="C49" s="4"/>
      <c r="D49" s="14"/>
      <c r="E49" s="102" t="s">
        <v>87</v>
      </c>
      <c r="F49" s="102"/>
      <c r="G49" s="76"/>
      <c r="H49" s="102" t="s">
        <v>89</v>
      </c>
      <c r="I49" s="102"/>
      <c r="J49" s="14"/>
      <c r="K49" s="76"/>
      <c r="L49" s="102" t="s">
        <v>101</v>
      </c>
      <c r="M49" s="102"/>
      <c r="N49" s="102"/>
      <c r="O49" s="14"/>
      <c r="P49" s="14"/>
      <c r="Q49" s="14"/>
      <c r="R49" s="14"/>
      <c r="S49" s="14"/>
      <c r="T49" s="14"/>
      <c r="U49" s="14"/>
      <c r="V49" s="14"/>
    </row>
    <row r="50" spans="2:22" ht="15.5" x14ac:dyDescent="0.35">
      <c r="B50" s="4"/>
      <c r="C50" s="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96" t="s">
        <v>69</v>
      </c>
      <c r="P50" s="96"/>
      <c r="Q50" s="96"/>
      <c r="R50" s="96"/>
      <c r="S50" s="96"/>
      <c r="T50" s="96"/>
      <c r="U50" s="96"/>
      <c r="V50" s="14"/>
    </row>
    <row r="51" spans="2:22" x14ac:dyDescent="0.35">
      <c r="B51" s="4"/>
      <c r="C51" s="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97" t="s">
        <v>70</v>
      </c>
      <c r="P51" s="97"/>
      <c r="Q51" s="98" t="s">
        <v>188</v>
      </c>
      <c r="R51" s="98"/>
      <c r="S51" s="98"/>
      <c r="T51" s="98"/>
      <c r="U51" s="98"/>
      <c r="V51" s="14"/>
    </row>
    <row r="52" spans="2:22" x14ac:dyDescent="0.35">
      <c r="B52" s="4"/>
      <c r="C52" s="4"/>
      <c r="D52" s="4"/>
      <c r="E52" s="4"/>
      <c r="F52" s="4"/>
      <c r="G52" s="4"/>
      <c r="H52" s="4"/>
      <c r="I52" s="14"/>
      <c r="J52" s="14"/>
      <c r="K52" s="14"/>
      <c r="L52" s="14"/>
      <c r="M52" s="14"/>
      <c r="N52" s="14"/>
      <c r="O52" s="97" t="s">
        <v>71</v>
      </c>
      <c r="P52" s="97"/>
      <c r="Q52" s="98" t="s">
        <v>190</v>
      </c>
      <c r="R52" s="98"/>
      <c r="S52" s="98"/>
      <c r="T52" s="98"/>
      <c r="U52" s="98"/>
      <c r="V52" s="14"/>
    </row>
    <row r="53" spans="2:22" ht="30.75" customHeight="1" x14ac:dyDescent="0.35">
      <c r="B53" s="4"/>
      <c r="C53" s="4"/>
      <c r="D53" s="99" t="s">
        <v>10</v>
      </c>
      <c r="E53" s="99"/>
      <c r="F53" s="99"/>
      <c r="G53" s="51" t="s">
        <v>99</v>
      </c>
      <c r="H53" s="51" t="s">
        <v>100</v>
      </c>
      <c r="I53" s="14"/>
      <c r="J53" s="14"/>
      <c r="K53" s="14"/>
      <c r="L53" s="14"/>
      <c r="M53" s="14"/>
      <c r="N53" s="14"/>
      <c r="O53" s="97" t="s">
        <v>72</v>
      </c>
      <c r="P53" s="97"/>
      <c r="Q53" s="100"/>
      <c r="R53" s="100"/>
      <c r="S53" s="100"/>
      <c r="T53" s="100"/>
      <c r="U53" s="100"/>
      <c r="V53" s="14"/>
    </row>
    <row r="54" spans="2:22" x14ac:dyDescent="0.35">
      <c r="B54" s="4"/>
      <c r="C54" s="4"/>
      <c r="D54" s="95" t="s">
        <v>11</v>
      </c>
      <c r="E54" s="95"/>
      <c r="F54" s="95"/>
      <c r="G54" s="40">
        <f>COUNT(C14:C41)</f>
        <v>25</v>
      </c>
      <c r="H54" s="44">
        <v>1</v>
      </c>
      <c r="I54" s="14"/>
      <c r="J54" s="14"/>
      <c r="K54" s="14"/>
      <c r="L54" s="14"/>
      <c r="M54" s="14"/>
      <c r="N54" s="14"/>
      <c r="O54" s="97" t="s">
        <v>73</v>
      </c>
      <c r="P54" s="97"/>
      <c r="Q54" s="101" t="s">
        <v>228</v>
      </c>
      <c r="R54" s="98"/>
      <c r="S54" s="98"/>
      <c r="T54" s="98"/>
      <c r="U54" s="98"/>
      <c r="V54" s="14"/>
    </row>
    <row r="55" spans="2:22" x14ac:dyDescent="0.35">
      <c r="B55" s="4"/>
      <c r="C55" s="4"/>
      <c r="D55" s="95" t="s">
        <v>12</v>
      </c>
      <c r="E55" s="95"/>
      <c r="F55" s="95"/>
      <c r="G55" s="40">
        <f>COUNTIF(V14:V43,"Aprobado")</f>
        <v>19</v>
      </c>
      <c r="H55" s="45">
        <f>(G55*H54)/G54</f>
        <v>0.76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2:22" x14ac:dyDescent="0.35">
      <c r="B56" s="4"/>
      <c r="C56" s="4"/>
      <c r="D56" s="95" t="s">
        <v>13</v>
      </c>
      <c r="E56" s="95"/>
      <c r="F56" s="95"/>
      <c r="G56" s="40">
        <f>COUNTIF(V14:V43,"Reprobado")</f>
        <v>0</v>
      </c>
      <c r="H56" s="45">
        <f>(G56*H54)/G54</f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2:22" ht="16.5" customHeight="1" x14ac:dyDescent="0.35">
      <c r="B57" s="4"/>
      <c r="C57" s="4"/>
      <c r="D57" s="95" t="s">
        <v>9</v>
      </c>
      <c r="E57" s="95"/>
      <c r="F57" s="95"/>
      <c r="G57" s="40">
        <f>COUNTIF(V14:V43,"Abandono")</f>
        <v>6</v>
      </c>
      <c r="H57" s="45">
        <f>(G57*H54)/G54</f>
        <v>0.24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2:22" ht="16.5" customHeight="1" x14ac:dyDescent="0.35">
      <c r="G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2:22" ht="14.25" customHeight="1" x14ac:dyDescent="0.35"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2:22" ht="15" customHeight="1" x14ac:dyDescent="0.35">
      <c r="N60" s="14"/>
      <c r="O60" s="14"/>
      <c r="P60" s="14"/>
      <c r="Q60" s="14"/>
      <c r="R60" s="14"/>
      <c r="S60" s="14"/>
      <c r="T60" s="14"/>
      <c r="U60" s="14"/>
      <c r="V60" s="14"/>
    </row>
  </sheetData>
  <mergeCells count="83">
    <mergeCell ref="C6:D6"/>
    <mergeCell ref="E6:O6"/>
    <mergeCell ref="S6:T6"/>
    <mergeCell ref="A1:B4"/>
    <mergeCell ref="S1:U1"/>
    <mergeCell ref="U2:V3"/>
    <mergeCell ref="F3:T4"/>
    <mergeCell ref="S5:T5"/>
    <mergeCell ref="E7:E8"/>
    <mergeCell ref="F7:F13"/>
    <mergeCell ref="V7:V13"/>
    <mergeCell ref="G8:G13"/>
    <mergeCell ref="H8:H13"/>
    <mergeCell ref="I8:I13"/>
    <mergeCell ref="J8:J13"/>
    <mergeCell ref="K8:K13"/>
    <mergeCell ref="L8:L13"/>
    <mergeCell ref="D19:E19"/>
    <mergeCell ref="S8:S13"/>
    <mergeCell ref="T8:T13"/>
    <mergeCell ref="U8:U13"/>
    <mergeCell ref="C9:D9"/>
    <mergeCell ref="C10:D10"/>
    <mergeCell ref="C11:D11"/>
    <mergeCell ref="C12:D12"/>
    <mergeCell ref="D13:E13"/>
    <mergeCell ref="M8:M13"/>
    <mergeCell ref="N8:N13"/>
    <mergeCell ref="O8:O13"/>
    <mergeCell ref="P8:P13"/>
    <mergeCell ref="Q8:Q13"/>
    <mergeCell ref="R8:R13"/>
    <mergeCell ref="C7:D8"/>
    <mergeCell ref="D14:E14"/>
    <mergeCell ref="D15:E15"/>
    <mergeCell ref="D16:E16"/>
    <mergeCell ref="D17:E17"/>
    <mergeCell ref="D18:E18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43:E43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H48:I48"/>
    <mergeCell ref="P48:R48"/>
    <mergeCell ref="H49:I49"/>
    <mergeCell ref="E48:F48"/>
    <mergeCell ref="E49:F49"/>
    <mergeCell ref="L48:N48"/>
    <mergeCell ref="L49:N49"/>
    <mergeCell ref="D57:F57"/>
    <mergeCell ref="O50:U50"/>
    <mergeCell ref="O51:P51"/>
    <mergeCell ref="Q51:U51"/>
    <mergeCell ref="O52:P52"/>
    <mergeCell ref="Q52:U52"/>
    <mergeCell ref="D53:F53"/>
    <mergeCell ref="O53:P53"/>
    <mergeCell ref="Q53:U53"/>
    <mergeCell ref="D54:F54"/>
    <mergeCell ref="O54:P54"/>
    <mergeCell ref="Q54:U54"/>
    <mergeCell ref="D55:F55"/>
    <mergeCell ref="D56:F56"/>
  </mergeCells>
  <pageMargins left="0.47244094488188981" right="0.59055118110236227" top="0.74803149606299213" bottom="0.15748031496062992" header="0.31496062992125984" footer="0.31496062992125984"/>
  <pageSetup scale="6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'[1]LISTA 2'!#REF!</xm:f>
          </x14:formula1>
          <xm:sqref>E6:O6</xm:sqref>
        </x14:dataValidation>
        <x14:dataValidation type="list" allowBlank="1" showInputMessage="1" showErrorMessage="1">
          <x14:formula1>
            <xm:f>[1]Lista!#REF!</xm:f>
          </x14:formula1>
          <xm:sqref>U6:V6</xm:sqref>
        </x14:dataValidation>
        <x14:dataValidation type="list" allowBlank="1" showInputMessage="1" showErrorMessage="1">
          <x14:formula1>
            <xm:f>[1]Lista!#REF!</xm:f>
          </x14:formula1>
          <xm:sqref>E11</xm:sqref>
        </x14:dataValidation>
        <x14:dataValidation type="list" allowBlank="1" showInputMessage="1" showErrorMessage="1">
          <x14:formula1>
            <xm:f>[1]Lista!#REF!</xm:f>
          </x14:formula1>
          <xm:sqref>E9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J7" sqref="J7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0.7265625" customWidth="1"/>
    <col min="6" max="6" width="8" customWidth="1"/>
    <col min="7" max="7" width="9.36328125" customWidth="1"/>
    <col min="8" max="8" width="9.7265625" customWidth="1"/>
    <col min="9" max="9" width="10.36328125" customWidth="1"/>
    <col min="10" max="10" width="7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+'COA-301'!E8:H8</f>
        <v>CONTABILIDAD AGROPECUARIA</v>
      </c>
      <c r="F8" s="134"/>
      <c r="G8" s="134"/>
      <c r="H8" s="135"/>
      <c r="I8" s="27" t="s">
        <v>80</v>
      </c>
      <c r="J8" s="132" t="str">
        <f>+'COA-301'!J8:K8</f>
        <v>COA-301</v>
      </c>
      <c r="K8" s="136"/>
    </row>
    <row r="9" spans="1:11" x14ac:dyDescent="0.35">
      <c r="D9" s="27" t="s">
        <v>78</v>
      </c>
      <c r="E9" s="133" t="s">
        <v>157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90">
        <v>1</v>
      </c>
      <c r="D13" s="179" t="s">
        <v>203</v>
      </c>
      <c r="E13" s="180"/>
      <c r="F13" s="91">
        <v>21</v>
      </c>
      <c r="G13" s="32">
        <v>49</v>
      </c>
      <c r="H13" s="35">
        <f>+F13+G13</f>
        <v>70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81">
        <v>2</v>
      </c>
      <c r="D14" s="177" t="s">
        <v>204</v>
      </c>
      <c r="E14" s="178"/>
      <c r="F14" s="80">
        <v>20</v>
      </c>
      <c r="G14" s="32">
        <v>50</v>
      </c>
      <c r="H14" s="35">
        <f t="shared" ref="H14:H37" si="0">+F14+G14</f>
        <v>70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81">
        <v>3</v>
      </c>
      <c r="D15" s="177" t="s">
        <v>205</v>
      </c>
      <c r="E15" s="178"/>
      <c r="F15" s="80">
        <v>20</v>
      </c>
      <c r="G15" s="32">
        <v>42</v>
      </c>
      <c r="H15" s="35">
        <f t="shared" si="0"/>
        <v>62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81">
        <v>4</v>
      </c>
      <c r="D16" s="176" t="s">
        <v>206</v>
      </c>
      <c r="E16" s="175"/>
      <c r="F16" s="80">
        <v>21</v>
      </c>
      <c r="G16" s="32">
        <v>67</v>
      </c>
      <c r="H16" s="35">
        <f t="shared" si="0"/>
        <v>88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81">
        <v>5</v>
      </c>
      <c r="D17" s="176" t="s">
        <v>207</v>
      </c>
      <c r="E17" s="175"/>
      <c r="F17" s="80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81">
        <v>6</v>
      </c>
      <c r="D18" s="176" t="s">
        <v>208</v>
      </c>
      <c r="E18" s="175"/>
      <c r="F18" s="80">
        <v>15</v>
      </c>
      <c r="G18" s="32">
        <v>30</v>
      </c>
      <c r="H18" s="35">
        <f t="shared" si="0"/>
        <v>45</v>
      </c>
      <c r="I18" s="32">
        <v>61</v>
      </c>
      <c r="J18" s="127" t="str">
        <f t="shared" si="1"/>
        <v>Aprobado</v>
      </c>
      <c r="K18" s="128"/>
    </row>
    <row r="19" spans="3:11" ht="12.75" customHeight="1" x14ac:dyDescent="0.35">
      <c r="C19" s="81">
        <v>7</v>
      </c>
      <c r="D19" s="176" t="s">
        <v>209</v>
      </c>
      <c r="E19" s="175"/>
      <c r="F19" s="80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81">
        <v>8</v>
      </c>
      <c r="D20" s="176" t="s">
        <v>210</v>
      </c>
      <c r="E20" s="175"/>
      <c r="F20" s="80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81">
        <v>9</v>
      </c>
      <c r="D21" s="177" t="s">
        <v>211</v>
      </c>
      <c r="E21" s="178"/>
      <c r="F21" s="80">
        <v>21</v>
      </c>
      <c r="G21" s="32">
        <v>41</v>
      </c>
      <c r="H21" s="35">
        <f t="shared" si="0"/>
        <v>62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81">
        <v>10</v>
      </c>
      <c r="D22" s="177" t="s">
        <v>212</v>
      </c>
      <c r="E22" s="178"/>
      <c r="F22" s="80">
        <v>25</v>
      </c>
      <c r="G22" s="32">
        <v>65</v>
      </c>
      <c r="H22" s="35">
        <f t="shared" si="0"/>
        <v>90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81">
        <v>11</v>
      </c>
      <c r="D23" s="172" t="s">
        <v>213</v>
      </c>
      <c r="E23" s="173"/>
      <c r="F23" s="80">
        <v>21</v>
      </c>
      <c r="G23" s="32">
        <v>45</v>
      </c>
      <c r="H23" s="35">
        <f t="shared" si="0"/>
        <v>66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81">
        <v>12</v>
      </c>
      <c r="D24" s="174" t="s">
        <v>214</v>
      </c>
      <c r="E24" s="175"/>
      <c r="F24" s="80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81">
        <v>13</v>
      </c>
      <c r="D25" s="84" t="s">
        <v>215</v>
      </c>
      <c r="E25" s="87"/>
      <c r="F25" s="80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81">
        <v>14</v>
      </c>
      <c r="D26" s="84" t="s">
        <v>216</v>
      </c>
      <c r="E26" s="87"/>
      <c r="F26" s="80">
        <v>20</v>
      </c>
      <c r="G26" s="32">
        <v>50</v>
      </c>
      <c r="H26" s="35">
        <f t="shared" si="0"/>
        <v>70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81">
        <v>15</v>
      </c>
      <c r="D27" s="85" t="s">
        <v>217</v>
      </c>
      <c r="E27" s="89"/>
      <c r="F27" s="80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81">
        <v>16</v>
      </c>
      <c r="D28" s="86" t="s">
        <v>218</v>
      </c>
      <c r="E28" s="86"/>
      <c r="F28" s="80">
        <v>23</v>
      </c>
      <c r="G28" s="32">
        <v>40</v>
      </c>
      <c r="H28" s="35">
        <f t="shared" si="0"/>
        <v>63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81">
        <v>17</v>
      </c>
      <c r="D29" s="93" t="s">
        <v>219</v>
      </c>
      <c r="E29" s="87"/>
      <c r="F29" s="80">
        <v>18</v>
      </c>
      <c r="G29" s="32">
        <v>43</v>
      </c>
      <c r="H29" s="35">
        <f t="shared" si="0"/>
        <v>61</v>
      </c>
      <c r="I29" s="32"/>
      <c r="J29" s="127" t="str">
        <f t="shared" si="1"/>
        <v>Aprobado</v>
      </c>
      <c r="K29" s="128"/>
    </row>
    <row r="30" spans="3:11" ht="14.65" customHeight="1" x14ac:dyDescent="0.35">
      <c r="C30" s="81">
        <v>18</v>
      </c>
      <c r="D30" s="84" t="s">
        <v>220</v>
      </c>
      <c r="E30" s="87"/>
      <c r="F30" s="80">
        <v>26</v>
      </c>
      <c r="G30" s="32">
        <v>44</v>
      </c>
      <c r="H30" s="35">
        <f t="shared" si="0"/>
        <v>70</v>
      </c>
      <c r="I30" s="32"/>
      <c r="J30" s="127" t="str">
        <f t="shared" si="1"/>
        <v>Aprobado</v>
      </c>
      <c r="K30" s="128"/>
    </row>
    <row r="31" spans="3:11" ht="14.65" customHeight="1" x14ac:dyDescent="0.35">
      <c r="C31" s="81">
        <v>19</v>
      </c>
      <c r="D31" s="84" t="s">
        <v>221</v>
      </c>
      <c r="E31" s="87"/>
      <c r="F31" s="80">
        <v>17</v>
      </c>
      <c r="G31" s="32">
        <v>44</v>
      </c>
      <c r="H31" s="35">
        <f t="shared" si="0"/>
        <v>61</v>
      </c>
      <c r="I31" s="32"/>
      <c r="J31" s="127" t="str">
        <f t="shared" si="1"/>
        <v>Aprobado</v>
      </c>
      <c r="K31" s="128"/>
    </row>
    <row r="32" spans="3:11" ht="14.65" customHeight="1" x14ac:dyDescent="0.35">
      <c r="C32" s="81">
        <v>20</v>
      </c>
      <c r="D32" s="84" t="s">
        <v>222</v>
      </c>
      <c r="E32" s="87"/>
      <c r="F32" s="80">
        <v>19</v>
      </c>
      <c r="G32" s="32">
        <v>47</v>
      </c>
      <c r="H32" s="35">
        <f t="shared" si="0"/>
        <v>66</v>
      </c>
      <c r="I32" s="32"/>
      <c r="J32" s="127" t="str">
        <f t="shared" si="1"/>
        <v>Aprobado</v>
      </c>
      <c r="K32" s="128"/>
    </row>
    <row r="33" spans="3:11" x14ac:dyDescent="0.35">
      <c r="C33" s="81">
        <v>21</v>
      </c>
      <c r="D33" s="84" t="s">
        <v>223</v>
      </c>
      <c r="E33" s="87"/>
      <c r="F33" s="80">
        <v>23</v>
      </c>
      <c r="G33" s="32">
        <v>38</v>
      </c>
      <c r="H33" s="35">
        <f t="shared" si="0"/>
        <v>61</v>
      </c>
      <c r="I33" s="32"/>
      <c r="J33" s="127" t="str">
        <f t="shared" ref="J33" si="2">IF(H33=0,"Abandono",IF(OR(H33&gt;=61,I33=61),"Aprobado","Reprobado"))</f>
        <v>Aprobado</v>
      </c>
      <c r="K33" s="128"/>
    </row>
    <row r="34" spans="3:11" x14ac:dyDescent="0.35">
      <c r="C34" s="81">
        <v>22</v>
      </c>
      <c r="D34" s="94" t="s">
        <v>224</v>
      </c>
      <c r="E34" s="86"/>
      <c r="F34" s="80">
        <v>20</v>
      </c>
      <c r="G34" s="32">
        <v>43</v>
      </c>
      <c r="H34" s="35">
        <f t="shared" si="0"/>
        <v>63</v>
      </c>
      <c r="I34" s="32"/>
      <c r="J34" s="127" t="str">
        <f t="shared" ref="J34:J37" si="3">IF(H34=0,"Abandono",IF(OR(H34&gt;=61,I34=61),"Aprobado","Reprobado"))</f>
        <v>Aprobado</v>
      </c>
      <c r="K34" s="128"/>
    </row>
    <row r="35" spans="3:11" x14ac:dyDescent="0.35">
      <c r="C35" s="81">
        <v>23</v>
      </c>
      <c r="D35" s="83" t="s">
        <v>225</v>
      </c>
      <c r="E35" s="92"/>
      <c r="F35" s="80">
        <v>21</v>
      </c>
      <c r="G35" s="32">
        <v>41</v>
      </c>
      <c r="H35" s="35">
        <f t="shared" si="0"/>
        <v>62</v>
      </c>
      <c r="I35" s="32"/>
      <c r="J35" s="127" t="str">
        <f t="shared" si="3"/>
        <v>Aprobado</v>
      </c>
      <c r="K35" s="128"/>
    </row>
    <row r="36" spans="3:11" x14ac:dyDescent="0.35">
      <c r="C36" s="81">
        <v>24</v>
      </c>
      <c r="D36" s="82" t="s">
        <v>226</v>
      </c>
      <c r="E36" s="87"/>
      <c r="F36" s="80">
        <v>25</v>
      </c>
      <c r="G36" s="32">
        <v>60</v>
      </c>
      <c r="H36" s="35">
        <f t="shared" si="0"/>
        <v>85</v>
      </c>
      <c r="I36" s="32"/>
      <c r="J36" s="127" t="str">
        <f t="shared" si="3"/>
        <v>Aprobado</v>
      </c>
      <c r="K36" s="128"/>
    </row>
    <row r="37" spans="3:11" x14ac:dyDescent="0.35">
      <c r="C37" s="81">
        <v>25</v>
      </c>
      <c r="D37" s="88" t="s">
        <v>227</v>
      </c>
      <c r="E37" s="87"/>
      <c r="F37" s="80">
        <v>25</v>
      </c>
      <c r="G37" s="32">
        <v>65</v>
      </c>
      <c r="H37" s="35">
        <f t="shared" si="0"/>
        <v>90</v>
      </c>
      <c r="I37" s="32"/>
      <c r="J37" s="127" t="str">
        <f t="shared" si="3"/>
        <v>Aprobado</v>
      </c>
      <c r="K37" s="128"/>
    </row>
    <row r="38" spans="3:11" x14ac:dyDescent="0.35">
      <c r="C38" s="30"/>
      <c r="D38" s="169"/>
      <c r="E38" s="170"/>
      <c r="F38" s="32"/>
      <c r="G38" s="32"/>
      <c r="H38" s="35"/>
      <c r="I38" s="32"/>
      <c r="J38" s="127"/>
      <c r="K38" s="128"/>
    </row>
    <row r="39" spans="3:11" x14ac:dyDescent="0.35">
      <c r="C39" s="30"/>
      <c r="D39" s="171"/>
      <c r="E39" s="171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85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B62:D62"/>
    <mergeCell ref="F62:G62"/>
    <mergeCell ref="I62:K62"/>
    <mergeCell ref="G54:H54"/>
    <mergeCell ref="J54:K54"/>
    <mergeCell ref="B61:D61"/>
    <mergeCell ref="F61:G61"/>
    <mergeCell ref="I61:K61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topLeftCell="A2" zoomScaleNormal="100" zoomScaleSheetLayoutView="100" workbookViewId="0">
      <selection activeCell="I21" sqref="I21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7265625" customWidth="1"/>
    <col min="6" max="6" width="8" customWidth="1"/>
    <col min="7" max="7" width="8.81640625" customWidth="1"/>
    <col min="8" max="8" width="9.7265625" customWidth="1"/>
    <col min="9" max="9" width="10.36328125" customWidth="1"/>
    <col min="10" max="10" width="6.7265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+'COC-302'!E8:H8</f>
        <v>CONTABILIDAD DE COSTOS II</v>
      </c>
      <c r="F8" s="134"/>
      <c r="G8" s="134"/>
      <c r="H8" s="135"/>
      <c r="I8" s="27" t="s">
        <v>80</v>
      </c>
      <c r="J8" s="132" t="str">
        <f>+'COC-302'!J8:K8</f>
        <v>COC-302</v>
      </c>
      <c r="K8" s="136"/>
    </row>
    <row r="9" spans="1:11" x14ac:dyDescent="0.35">
      <c r="D9" s="27" t="s">
        <v>78</v>
      </c>
      <c r="E9" s="133" t="s">
        <v>154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24</v>
      </c>
      <c r="G13" s="32">
        <v>60</v>
      </c>
      <c r="H13" s="35">
        <f>+F13+G13</f>
        <v>84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28</v>
      </c>
      <c r="G14" s="32">
        <v>64</v>
      </c>
      <c r="H14" s="35">
        <f t="shared" ref="H14:H37" si="0">+F14+G14</f>
        <v>92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22</v>
      </c>
      <c r="G15" s="32">
        <v>41</v>
      </c>
      <c r="H15" s="35">
        <f t="shared" si="0"/>
        <v>63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28</v>
      </c>
      <c r="G16" s="32">
        <v>64</v>
      </c>
      <c r="H16" s="35">
        <f t="shared" si="0"/>
        <v>92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20</v>
      </c>
      <c r="G18" s="32">
        <v>52</v>
      </c>
      <c r="H18" s="35">
        <f t="shared" si="0"/>
        <v>72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18</v>
      </c>
      <c r="G21" s="32">
        <v>47</v>
      </c>
      <c r="H21" s="35">
        <f t="shared" si="0"/>
        <v>65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28</v>
      </c>
      <c r="G22" s="32">
        <v>60</v>
      </c>
      <c r="H22" s="35">
        <f t="shared" si="0"/>
        <v>88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28</v>
      </c>
      <c r="G23" s="32">
        <v>53</v>
      </c>
      <c r="H23" s="35">
        <f t="shared" si="0"/>
        <v>81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28</v>
      </c>
      <c r="G26" s="32">
        <v>63</v>
      </c>
      <c r="H26" s="35">
        <f t="shared" si="0"/>
        <v>91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21</v>
      </c>
      <c r="G28" s="32">
        <v>41</v>
      </c>
      <c r="H28" s="35">
        <f t="shared" si="0"/>
        <v>62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28</v>
      </c>
      <c r="G29" s="32">
        <v>62</v>
      </c>
      <c r="H29" s="35">
        <f t="shared" si="0"/>
        <v>90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20</v>
      </c>
      <c r="G30" s="32">
        <v>45</v>
      </c>
      <c r="H30" s="35">
        <f t="shared" si="0"/>
        <v>65</v>
      </c>
      <c r="I30" s="32"/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18</v>
      </c>
      <c r="G31" s="32">
        <v>52</v>
      </c>
      <c r="H31" s="35">
        <f t="shared" si="0"/>
        <v>70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28</v>
      </c>
      <c r="G32" s="32">
        <v>57</v>
      </c>
      <c r="H32" s="35">
        <f t="shared" si="0"/>
        <v>85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22</v>
      </c>
      <c r="G33" s="32">
        <v>51</v>
      </c>
      <c r="H33" s="35">
        <f t="shared" si="0"/>
        <v>73</v>
      </c>
      <c r="I33" s="32"/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20</v>
      </c>
      <c r="G34" s="32">
        <v>41</v>
      </c>
      <c r="H34" s="35">
        <f t="shared" si="0"/>
        <v>61</v>
      </c>
      <c r="I34" s="32"/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21</v>
      </c>
      <c r="G35" s="32">
        <v>40</v>
      </c>
      <c r="H35" s="35">
        <f t="shared" si="0"/>
        <v>61</v>
      </c>
      <c r="I35" s="32"/>
      <c r="J35" s="127" t="str">
        <f t="shared" si="2"/>
        <v>Aprobado</v>
      </c>
      <c r="K35" s="128"/>
    </row>
    <row r="36" spans="3:11" x14ac:dyDescent="0.35">
      <c r="C36" s="30">
        <v>24</v>
      </c>
      <c r="D36" s="168" t="str">
        <f>+'COA-301 N'!D36:E36</f>
        <v>Tito Yucra Leiddy Olimpia</v>
      </c>
      <c r="E36" s="168"/>
      <c r="F36" s="32">
        <v>28</v>
      </c>
      <c r="G36" s="32">
        <v>64</v>
      </c>
      <c r="H36" s="35">
        <f t="shared" si="0"/>
        <v>92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20</v>
      </c>
      <c r="G37" s="32">
        <v>50</v>
      </c>
      <c r="H37" s="35">
        <f t="shared" si="0"/>
        <v>70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7" sqref="I17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26953125" customWidth="1"/>
    <col min="6" max="6" width="8" customWidth="1"/>
    <col min="7" max="7" width="8.81640625" customWidth="1"/>
    <col min="8" max="8" width="9.7265625" customWidth="1"/>
    <col min="9" max="9" width="10.36328125" customWidth="1"/>
    <col min="10" max="10" width="6.81640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+'COG-303'!E8:H8</f>
        <v>CONTABILIDAD GUBERNAMENTAL</v>
      </c>
      <c r="F8" s="134"/>
      <c r="G8" s="134"/>
      <c r="H8" s="135"/>
      <c r="I8" s="27" t="s">
        <v>80</v>
      </c>
      <c r="J8" s="132" t="str">
        <f>+'COG-303'!J8:K8</f>
        <v>COG-303</v>
      </c>
      <c r="K8" s="136"/>
    </row>
    <row r="9" spans="1:11" x14ac:dyDescent="0.35">
      <c r="D9" s="27" t="s">
        <v>78</v>
      </c>
      <c r="E9" s="133" t="s">
        <v>154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20</v>
      </c>
      <c r="G13" s="32">
        <v>44</v>
      </c>
      <c r="H13" s="35">
        <f>+F13+G13</f>
        <v>64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22</v>
      </c>
      <c r="G14" s="32">
        <v>54</v>
      </c>
      <c r="H14" s="35">
        <f t="shared" ref="H14:H37" si="0">+F14+G14</f>
        <v>76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21</v>
      </c>
      <c r="G15" s="32">
        <v>41</v>
      </c>
      <c r="H15" s="35">
        <f t="shared" si="0"/>
        <v>62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25</v>
      </c>
      <c r="G16" s="32">
        <v>54</v>
      </c>
      <c r="H16" s="35">
        <f t="shared" si="0"/>
        <v>79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22</v>
      </c>
      <c r="G18" s="32">
        <v>42</v>
      </c>
      <c r="H18" s="35">
        <f t="shared" si="0"/>
        <v>64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30</v>
      </c>
      <c r="G21" s="32">
        <v>55</v>
      </c>
      <c r="H21" s="35">
        <f t="shared" si="0"/>
        <v>85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22</v>
      </c>
      <c r="G22" s="32">
        <v>49</v>
      </c>
      <c r="H22" s="35">
        <f t="shared" si="0"/>
        <v>71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23</v>
      </c>
      <c r="G23" s="32">
        <v>42</v>
      </c>
      <c r="H23" s="35">
        <f t="shared" si="0"/>
        <v>65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25</v>
      </c>
      <c r="G26" s="32">
        <v>47</v>
      </c>
      <c r="H26" s="35">
        <f t="shared" si="0"/>
        <v>72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21</v>
      </c>
      <c r="G28" s="32">
        <v>40</v>
      </c>
      <c r="H28" s="35">
        <f t="shared" si="0"/>
        <v>61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30</v>
      </c>
      <c r="G29" s="32">
        <v>51</v>
      </c>
      <c r="H29" s="35">
        <f t="shared" si="0"/>
        <v>81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25</v>
      </c>
      <c r="G30" s="32">
        <v>33</v>
      </c>
      <c r="H30" s="35">
        <f t="shared" si="0"/>
        <v>58</v>
      </c>
      <c r="I30" s="32">
        <v>61</v>
      </c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28</v>
      </c>
      <c r="G31" s="32">
        <v>57</v>
      </c>
      <c r="H31" s="35">
        <f t="shared" si="0"/>
        <v>85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20</v>
      </c>
      <c r="G32" s="32">
        <v>48</v>
      </c>
      <c r="H32" s="35">
        <f t="shared" si="0"/>
        <v>68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20</v>
      </c>
      <c r="G33" s="32">
        <v>34</v>
      </c>
      <c r="H33" s="35">
        <f t="shared" si="0"/>
        <v>54</v>
      </c>
      <c r="I33" s="32">
        <v>61</v>
      </c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21</v>
      </c>
      <c r="G34" s="32">
        <v>40</v>
      </c>
      <c r="H34" s="35">
        <f t="shared" si="0"/>
        <v>61</v>
      </c>
      <c r="I34" s="32"/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21</v>
      </c>
      <c r="G35" s="32">
        <v>42</v>
      </c>
      <c r="H35" s="35">
        <f t="shared" si="0"/>
        <v>63</v>
      </c>
      <c r="I35" s="32"/>
      <c r="J35" s="127" t="str">
        <f t="shared" si="2"/>
        <v>Aprobado</v>
      </c>
      <c r="K35" s="128"/>
    </row>
    <row r="36" spans="3:11" x14ac:dyDescent="0.35">
      <c r="C36" s="30">
        <v>24</v>
      </c>
      <c r="D36" s="168" t="str">
        <f>+'COA-301 N'!D36:E36</f>
        <v>Tito Yucra Leiddy Olimpia</v>
      </c>
      <c r="E36" s="168"/>
      <c r="F36" s="32">
        <v>25</v>
      </c>
      <c r="G36" s="32">
        <v>51</v>
      </c>
      <c r="H36" s="35">
        <f t="shared" si="0"/>
        <v>76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23</v>
      </c>
      <c r="G37" s="32">
        <v>45</v>
      </c>
      <c r="H37" s="35">
        <f t="shared" si="0"/>
        <v>68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8" sqref="I18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81640625" customWidth="1"/>
    <col min="6" max="6" width="8" customWidth="1"/>
    <col min="7" max="7" width="9.36328125" customWidth="1"/>
    <col min="8" max="8" width="9" customWidth="1"/>
    <col min="9" max="9" width="10.36328125" customWidth="1"/>
    <col min="10" max="10" width="7.179687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+'CEP.304'!E8:H8</f>
        <v>CONTABILIDAD EXTRACTIVA (Minera, Petrolera y Forestal)</v>
      </c>
      <c r="F8" s="134"/>
      <c r="G8" s="134"/>
      <c r="H8" s="135"/>
      <c r="I8" s="27" t="s">
        <v>80</v>
      </c>
      <c r="J8" s="132" t="str">
        <f>+'CEP.304'!J8:K8</f>
        <v>CEP-304</v>
      </c>
      <c r="K8" s="136"/>
    </row>
    <row r="9" spans="1:11" x14ac:dyDescent="0.35">
      <c r="D9" s="27" t="s">
        <v>78</v>
      </c>
      <c r="E9" s="133" t="s">
        <v>155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27</v>
      </c>
      <c r="G13" s="32">
        <v>61</v>
      </c>
      <c r="H13" s="35">
        <f>+F13+G13</f>
        <v>88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27</v>
      </c>
      <c r="G14" s="32">
        <v>62</v>
      </c>
      <c r="H14" s="35">
        <f t="shared" ref="H14:H37" si="0">+F14+G14</f>
        <v>89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22</v>
      </c>
      <c r="G15" s="32">
        <v>42</v>
      </c>
      <c r="H15" s="35">
        <f t="shared" si="0"/>
        <v>64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28</v>
      </c>
      <c r="G16" s="32">
        <v>67</v>
      </c>
      <c r="H16" s="35">
        <f t="shared" si="0"/>
        <v>95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23</v>
      </c>
      <c r="G18" s="32">
        <v>48</v>
      </c>
      <c r="H18" s="35">
        <f t="shared" si="0"/>
        <v>71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18</v>
      </c>
      <c r="G21" s="32">
        <v>45</v>
      </c>
      <c r="H21" s="35">
        <f t="shared" si="0"/>
        <v>63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28</v>
      </c>
      <c r="G22" s="32">
        <v>57</v>
      </c>
      <c r="H22" s="35">
        <f t="shared" si="0"/>
        <v>85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28</v>
      </c>
      <c r="G23" s="32">
        <v>53</v>
      </c>
      <c r="H23" s="35">
        <f t="shared" si="0"/>
        <v>81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27</v>
      </c>
      <c r="G26" s="32">
        <v>62</v>
      </c>
      <c r="H26" s="35">
        <f t="shared" si="0"/>
        <v>89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20</v>
      </c>
      <c r="G28" s="32">
        <v>42</v>
      </c>
      <c r="H28" s="35">
        <f t="shared" si="0"/>
        <v>62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27</v>
      </c>
      <c r="G29" s="32">
        <v>58</v>
      </c>
      <c r="H29" s="35">
        <f t="shared" si="0"/>
        <v>85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20</v>
      </c>
      <c r="G30" s="32">
        <v>42</v>
      </c>
      <c r="H30" s="35">
        <f t="shared" si="0"/>
        <v>62</v>
      </c>
      <c r="I30" s="32"/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22</v>
      </c>
      <c r="G31" s="32">
        <v>57</v>
      </c>
      <c r="H31" s="35">
        <f t="shared" si="0"/>
        <v>79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25</v>
      </c>
      <c r="G32" s="32">
        <v>58</v>
      </c>
      <c r="H32" s="35">
        <f t="shared" si="0"/>
        <v>83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26</v>
      </c>
      <c r="G33" s="32">
        <v>58</v>
      </c>
      <c r="H33" s="35">
        <f t="shared" si="0"/>
        <v>84</v>
      </c>
      <c r="I33" s="32"/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21</v>
      </c>
      <c r="G34" s="32">
        <v>43</v>
      </c>
      <c r="H34" s="35">
        <f t="shared" si="0"/>
        <v>64</v>
      </c>
      <c r="I34" s="32"/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20</v>
      </c>
      <c r="G35" s="32">
        <v>43</v>
      </c>
      <c r="H35" s="35">
        <f t="shared" si="0"/>
        <v>63</v>
      </c>
      <c r="I35" s="32"/>
      <c r="J35" s="127" t="str">
        <f t="shared" si="2"/>
        <v>Aprobado</v>
      </c>
      <c r="K35" s="128"/>
    </row>
    <row r="36" spans="3:11" ht="15" customHeight="1" x14ac:dyDescent="0.35">
      <c r="C36" s="30">
        <v>24</v>
      </c>
      <c r="D36" s="168" t="str">
        <f>+'COA-301 N'!D36:E36</f>
        <v>Tito Yucra Leiddy Olimpia</v>
      </c>
      <c r="E36" s="168"/>
      <c r="F36" s="32">
        <v>28</v>
      </c>
      <c r="G36" s="32">
        <v>67</v>
      </c>
      <c r="H36" s="35">
        <f t="shared" si="0"/>
        <v>95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20</v>
      </c>
      <c r="G37" s="32">
        <v>57</v>
      </c>
      <c r="H37" s="35">
        <f t="shared" si="0"/>
        <v>77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E9" sqref="E9:H9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26953125" customWidth="1"/>
    <col min="6" max="6" width="8" customWidth="1"/>
    <col min="7" max="7" width="9.36328125" customWidth="1"/>
    <col min="8" max="8" width="8.7265625" customWidth="1"/>
    <col min="9" max="9" width="9.81640625" customWidth="1"/>
    <col min="10" max="10" width="6.5429687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+'CSH-305'!E8:H8</f>
        <v>CONTABILIDAD DE SERVICIOS (Construcción, Hotelería y Transporte)</v>
      </c>
      <c r="F8" s="134"/>
      <c r="G8" s="134"/>
      <c r="H8" s="135"/>
      <c r="I8" s="27" t="s">
        <v>80</v>
      </c>
      <c r="J8" s="132" t="str">
        <f>+'CSH-305'!J8:K8</f>
        <v>CSH-305</v>
      </c>
      <c r="K8" s="136"/>
    </row>
    <row r="9" spans="1:11" x14ac:dyDescent="0.35">
      <c r="D9" s="27" t="s">
        <v>78</v>
      </c>
      <c r="E9" s="133" t="s">
        <v>160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10</v>
      </c>
      <c r="G13" s="32">
        <v>58</v>
      </c>
      <c r="H13" s="35">
        <f>+F13+G13</f>
        <v>68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13</v>
      </c>
      <c r="G14" s="32">
        <v>60</v>
      </c>
      <c r="H14" s="35">
        <f t="shared" ref="H14:H37" si="0">+F14+G14</f>
        <v>73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22</v>
      </c>
      <c r="G15" s="32">
        <v>43</v>
      </c>
      <c r="H15" s="35">
        <f t="shared" si="0"/>
        <v>65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18</v>
      </c>
      <c r="G16" s="32">
        <v>65</v>
      </c>
      <c r="H16" s="35">
        <f t="shared" si="0"/>
        <v>83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12</v>
      </c>
      <c r="G18" s="32">
        <v>59</v>
      </c>
      <c r="H18" s="35">
        <f t="shared" si="0"/>
        <v>71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21</v>
      </c>
      <c r="G21" s="32">
        <v>43</v>
      </c>
      <c r="H21" s="35">
        <f t="shared" si="0"/>
        <v>64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14</v>
      </c>
      <c r="G22" s="32">
        <v>60</v>
      </c>
      <c r="H22" s="35">
        <f t="shared" si="0"/>
        <v>74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11</v>
      </c>
      <c r="G23" s="32">
        <v>53</v>
      </c>
      <c r="H23" s="35">
        <f t="shared" si="0"/>
        <v>64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15</v>
      </c>
      <c r="G26" s="32">
        <v>58</v>
      </c>
      <c r="H26" s="35">
        <f t="shared" si="0"/>
        <v>73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21</v>
      </c>
      <c r="G28" s="32">
        <v>41</v>
      </c>
      <c r="H28" s="35">
        <f t="shared" si="0"/>
        <v>62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19</v>
      </c>
      <c r="G29" s="32">
        <v>70</v>
      </c>
      <c r="H29" s="35">
        <f t="shared" si="0"/>
        <v>89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17</v>
      </c>
      <c r="G30" s="32">
        <v>68</v>
      </c>
      <c r="H30" s="35">
        <f t="shared" si="0"/>
        <v>85</v>
      </c>
      <c r="I30" s="32"/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20</v>
      </c>
      <c r="G31" s="32">
        <v>60</v>
      </c>
      <c r="H31" s="35">
        <f t="shared" si="0"/>
        <v>80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14</v>
      </c>
      <c r="G32" s="32">
        <v>68</v>
      </c>
      <c r="H32" s="35">
        <f t="shared" si="0"/>
        <v>82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10</v>
      </c>
      <c r="G33" s="32">
        <v>60</v>
      </c>
      <c r="H33" s="35">
        <f t="shared" si="0"/>
        <v>70</v>
      </c>
      <c r="I33" s="32"/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20</v>
      </c>
      <c r="G34" s="32">
        <v>41</v>
      </c>
      <c r="H34" s="35">
        <f t="shared" si="0"/>
        <v>61</v>
      </c>
      <c r="I34" s="32"/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21</v>
      </c>
      <c r="G35" s="32">
        <v>42</v>
      </c>
      <c r="H35" s="35">
        <f t="shared" si="0"/>
        <v>63</v>
      </c>
      <c r="I35" s="32"/>
      <c r="J35" s="127" t="str">
        <f t="shared" si="2"/>
        <v>Aprobado</v>
      </c>
      <c r="K35" s="128"/>
    </row>
    <row r="36" spans="3:11" ht="15" customHeight="1" x14ac:dyDescent="0.35">
      <c r="C36" s="30">
        <v>24</v>
      </c>
      <c r="D36" s="168" t="str">
        <f>+'COA-301 N'!D36:E36</f>
        <v>Tito Yucra Leiddy Olimpia</v>
      </c>
      <c r="E36" s="168"/>
      <c r="F36" s="32">
        <v>16</v>
      </c>
      <c r="G36" s="32">
        <v>63</v>
      </c>
      <c r="H36" s="35">
        <f t="shared" si="0"/>
        <v>79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11</v>
      </c>
      <c r="G37" s="32">
        <v>56</v>
      </c>
      <c r="H37" s="35">
        <f t="shared" si="0"/>
        <v>67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6" sqref="I1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1.7265625" customWidth="1"/>
    <col min="6" max="6" width="8" customWidth="1"/>
    <col min="7" max="7" width="9.36328125" customWidth="1"/>
    <col min="8" max="8" width="9" customWidth="1"/>
    <col min="9" max="9" width="10.36328125" customWidth="1"/>
    <col min="10" max="10" width="6.81640625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+'GCI-306'!E8:H8</f>
        <v>GABINETE CONTABLE INFORMÁTICO</v>
      </c>
      <c r="F8" s="134"/>
      <c r="G8" s="134"/>
      <c r="H8" s="135"/>
      <c r="I8" s="27" t="s">
        <v>80</v>
      </c>
      <c r="J8" s="132" t="str">
        <f>+'GCI-306'!J8:K8</f>
        <v>GCI-306</v>
      </c>
      <c r="K8" s="136"/>
    </row>
    <row r="9" spans="1:11" x14ac:dyDescent="0.35">
      <c r="D9" s="27" t="s">
        <v>78</v>
      </c>
      <c r="E9" s="133" t="s">
        <v>158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20</v>
      </c>
      <c r="G13" s="32">
        <v>27</v>
      </c>
      <c r="H13" s="35">
        <f>+F13+G13</f>
        <v>47</v>
      </c>
      <c r="I13" s="32">
        <v>61</v>
      </c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21</v>
      </c>
      <c r="G14" s="32">
        <v>43</v>
      </c>
      <c r="H14" s="35">
        <f t="shared" ref="H14:H37" si="0">+F14+G14</f>
        <v>64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23</v>
      </c>
      <c r="G15" s="32">
        <v>41</v>
      </c>
      <c r="H15" s="35">
        <f t="shared" si="0"/>
        <v>64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30</v>
      </c>
      <c r="G16" s="32">
        <v>57</v>
      </c>
      <c r="H16" s="35">
        <f t="shared" si="0"/>
        <v>87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20</v>
      </c>
      <c r="G18" s="32">
        <v>50</v>
      </c>
      <c r="H18" s="35">
        <f t="shared" si="0"/>
        <v>70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28</v>
      </c>
      <c r="G21" s="32">
        <v>59</v>
      </c>
      <c r="H21" s="35">
        <f t="shared" si="0"/>
        <v>87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20</v>
      </c>
      <c r="G22" s="32">
        <v>41</v>
      </c>
      <c r="H22" s="35">
        <f t="shared" si="0"/>
        <v>61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25</v>
      </c>
      <c r="G23" s="32">
        <v>48</v>
      </c>
      <c r="H23" s="35">
        <f t="shared" si="0"/>
        <v>73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27</v>
      </c>
      <c r="G26" s="32">
        <v>46</v>
      </c>
      <c r="H26" s="35">
        <f t="shared" si="0"/>
        <v>73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20</v>
      </c>
      <c r="G28" s="32">
        <v>41</v>
      </c>
      <c r="H28" s="35">
        <f t="shared" si="0"/>
        <v>61</v>
      </c>
      <c r="I28" s="32"/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28</v>
      </c>
      <c r="G29" s="32">
        <v>60</v>
      </c>
      <c r="H29" s="35">
        <f t="shared" si="0"/>
        <v>88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20</v>
      </c>
      <c r="G30" s="32">
        <v>33</v>
      </c>
      <c r="H30" s="35">
        <f t="shared" si="0"/>
        <v>53</v>
      </c>
      <c r="I30" s="32">
        <v>61</v>
      </c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25</v>
      </c>
      <c r="G31" s="32">
        <v>63</v>
      </c>
      <c r="H31" s="35">
        <f t="shared" si="0"/>
        <v>88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24</v>
      </c>
      <c r="G32" s="32">
        <v>50</v>
      </c>
      <c r="H32" s="35">
        <f t="shared" si="0"/>
        <v>74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25</v>
      </c>
      <c r="G33" s="32">
        <v>45</v>
      </c>
      <c r="H33" s="35">
        <f t="shared" si="0"/>
        <v>70</v>
      </c>
      <c r="I33" s="32"/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21</v>
      </c>
      <c r="G34" s="32">
        <v>43</v>
      </c>
      <c r="H34" s="35">
        <f t="shared" si="0"/>
        <v>64</v>
      </c>
      <c r="I34" s="32"/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22</v>
      </c>
      <c r="G35" s="32">
        <v>41</v>
      </c>
      <c r="H35" s="35">
        <f t="shared" si="0"/>
        <v>63</v>
      </c>
      <c r="I35" s="32"/>
      <c r="J35" s="127" t="str">
        <f t="shared" si="2"/>
        <v>Aprobado</v>
      </c>
      <c r="K35" s="128"/>
    </row>
    <row r="36" spans="3:11" ht="15" customHeight="1" x14ac:dyDescent="0.35">
      <c r="C36" s="30">
        <v>24</v>
      </c>
      <c r="D36" s="168" t="str">
        <f>+'COA-301 N'!D36:E36</f>
        <v>Tito Yucra Leiddy Olimpia</v>
      </c>
      <c r="E36" s="168"/>
      <c r="F36" s="32">
        <v>27</v>
      </c>
      <c r="G36" s="32">
        <v>59</v>
      </c>
      <c r="H36" s="35">
        <f t="shared" si="0"/>
        <v>86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20</v>
      </c>
      <c r="G37" s="32">
        <v>38</v>
      </c>
      <c r="H37" s="35">
        <f t="shared" si="0"/>
        <v>58</v>
      </c>
      <c r="I37" s="32">
        <v>61</v>
      </c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Normal="100" zoomScaleSheetLayoutView="100" workbookViewId="0">
      <selection activeCell="I16" sqref="I1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1796875" customWidth="1"/>
    <col min="6" max="6" width="8" customWidth="1"/>
    <col min="7" max="7" width="9.36328125" customWidth="1"/>
    <col min="8" max="8" width="9.7265625" customWidth="1"/>
    <col min="9" max="9" width="9.36328125" customWidth="1"/>
    <col min="10" max="10" width="7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+'AEF-307'!E8:H8</f>
        <v>ANÁLISIS E INTERPRETACIONES DE ESTADOS FINANCIEROS</v>
      </c>
      <c r="F8" s="134"/>
      <c r="G8" s="134"/>
      <c r="H8" s="135"/>
      <c r="I8" s="27" t="s">
        <v>80</v>
      </c>
      <c r="J8" s="132" t="str">
        <f>+'AEF-307'!J8:K8</f>
        <v>AEF-307</v>
      </c>
      <c r="K8" s="136"/>
    </row>
    <row r="9" spans="1:11" x14ac:dyDescent="0.35">
      <c r="D9" s="27" t="s">
        <v>78</v>
      </c>
      <c r="E9" s="133" t="s">
        <v>154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4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22</v>
      </c>
      <c r="G13" s="32">
        <v>48</v>
      </c>
      <c r="H13" s="35">
        <f>+F13+G13</f>
        <v>70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20</v>
      </c>
      <c r="G14" s="32">
        <v>54</v>
      </c>
      <c r="H14" s="35">
        <f t="shared" ref="H14:H37" si="0">+F14+G14</f>
        <v>74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21</v>
      </c>
      <c r="G15" s="32">
        <v>42</v>
      </c>
      <c r="H15" s="35">
        <f t="shared" si="0"/>
        <v>63</v>
      </c>
      <c r="I15" s="32"/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25</v>
      </c>
      <c r="G16" s="32">
        <v>50</v>
      </c>
      <c r="H16" s="35">
        <f t="shared" si="0"/>
        <v>75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20</v>
      </c>
      <c r="G18" s="32">
        <v>25</v>
      </c>
      <c r="H18" s="35">
        <f t="shared" si="0"/>
        <v>45</v>
      </c>
      <c r="I18" s="32">
        <v>61</v>
      </c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21</v>
      </c>
      <c r="G21" s="32">
        <v>30</v>
      </c>
      <c r="H21" s="35">
        <f t="shared" si="0"/>
        <v>51</v>
      </c>
      <c r="I21" s="32">
        <v>61</v>
      </c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25</v>
      </c>
      <c r="G22" s="32">
        <v>65</v>
      </c>
      <c r="H22" s="35">
        <f t="shared" si="0"/>
        <v>90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22</v>
      </c>
      <c r="G23" s="32">
        <v>43</v>
      </c>
      <c r="H23" s="35">
        <f t="shared" si="0"/>
        <v>65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25</v>
      </c>
      <c r="G26" s="32">
        <v>50</v>
      </c>
      <c r="H26" s="35">
        <f t="shared" si="0"/>
        <v>75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21</v>
      </c>
      <c r="G28" s="32">
        <v>30</v>
      </c>
      <c r="H28" s="35">
        <f t="shared" si="0"/>
        <v>51</v>
      </c>
      <c r="I28" s="32">
        <v>61</v>
      </c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22</v>
      </c>
      <c r="G29" s="32">
        <v>40</v>
      </c>
      <c r="H29" s="35">
        <f t="shared" si="0"/>
        <v>62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23</v>
      </c>
      <c r="G30" s="32">
        <v>57</v>
      </c>
      <c r="H30" s="35">
        <f t="shared" si="0"/>
        <v>80</v>
      </c>
      <c r="I30" s="32"/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19</v>
      </c>
      <c r="G31" s="32">
        <v>52</v>
      </c>
      <c r="H31" s="35">
        <f t="shared" si="0"/>
        <v>71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19</v>
      </c>
      <c r="G32" s="32">
        <v>46</v>
      </c>
      <c r="H32" s="35">
        <f t="shared" si="0"/>
        <v>65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20</v>
      </c>
      <c r="G33" s="32">
        <v>25</v>
      </c>
      <c r="H33" s="35">
        <f t="shared" si="0"/>
        <v>45</v>
      </c>
      <c r="I33" s="32">
        <v>61</v>
      </c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21</v>
      </c>
      <c r="G34" s="32">
        <v>30</v>
      </c>
      <c r="H34" s="35">
        <f t="shared" si="0"/>
        <v>51</v>
      </c>
      <c r="I34" s="32">
        <v>61</v>
      </c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21</v>
      </c>
      <c r="G35" s="32">
        <v>35</v>
      </c>
      <c r="H35" s="35">
        <f t="shared" si="0"/>
        <v>56</v>
      </c>
      <c r="I35" s="32">
        <v>61</v>
      </c>
      <c r="J35" s="127" t="str">
        <f t="shared" si="2"/>
        <v>Aprobado</v>
      </c>
      <c r="K35" s="128"/>
    </row>
    <row r="36" spans="3:11" ht="15" customHeight="1" x14ac:dyDescent="0.35">
      <c r="C36" s="30">
        <v>24</v>
      </c>
      <c r="D36" s="168" t="str">
        <f>+'COA-301 N'!D36:E36</f>
        <v>Tito Yucra Leiddy Olimpia</v>
      </c>
      <c r="E36" s="168"/>
      <c r="F36" s="32">
        <v>30</v>
      </c>
      <c r="G36" s="32">
        <v>60</v>
      </c>
      <c r="H36" s="35">
        <f t="shared" si="0"/>
        <v>90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27</v>
      </c>
      <c r="G37" s="32">
        <v>65</v>
      </c>
      <c r="H37" s="35">
        <f t="shared" si="0"/>
        <v>92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G50:H50"/>
    <mergeCell ref="J50:K50"/>
    <mergeCell ref="G51:H51"/>
    <mergeCell ref="J51:K51"/>
    <mergeCell ref="G52:H52"/>
    <mergeCell ref="J52:K52"/>
    <mergeCell ref="G53:H53"/>
    <mergeCell ref="J53:K53"/>
    <mergeCell ref="G54:H54"/>
    <mergeCell ref="J54:K54"/>
    <mergeCell ref="B61:D61"/>
    <mergeCell ref="F61:G61"/>
    <mergeCell ref="I61:K61"/>
    <mergeCell ref="B62:D62"/>
    <mergeCell ref="F62:G62"/>
    <mergeCell ref="I62:K6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topLeftCell="A19" zoomScaleNormal="100" zoomScaleSheetLayoutView="100" workbookViewId="0">
      <selection activeCell="I6" sqref="I6"/>
    </sheetView>
  </sheetViews>
  <sheetFormatPr baseColWidth="10" defaultRowHeight="14.5" x14ac:dyDescent="0.35"/>
  <cols>
    <col min="1" max="2" width="7" customWidth="1"/>
    <col min="3" max="3" width="5.54296875" customWidth="1"/>
    <col min="4" max="4" width="13.54296875" customWidth="1"/>
    <col min="5" max="5" width="22.1796875" customWidth="1"/>
    <col min="6" max="6" width="8" customWidth="1"/>
    <col min="7" max="7" width="9.36328125" customWidth="1"/>
    <col min="8" max="8" width="9.7265625" customWidth="1"/>
    <col min="9" max="9" width="9.36328125" customWidth="1"/>
    <col min="10" max="10" width="7" customWidth="1"/>
    <col min="11" max="11" width="6.26953125" customWidth="1"/>
  </cols>
  <sheetData>
    <row r="1" spans="1:11" x14ac:dyDescent="0.35">
      <c r="A1" s="129"/>
      <c r="B1" s="129"/>
    </row>
    <row r="2" spans="1:11" x14ac:dyDescent="0.35">
      <c r="A2" s="129"/>
      <c r="B2" s="129"/>
    </row>
    <row r="3" spans="1:11" ht="30.75" customHeight="1" x14ac:dyDescent="0.35">
      <c r="A3" s="129"/>
      <c r="B3" s="129"/>
      <c r="K3" s="46"/>
    </row>
    <row r="4" spans="1:11" s="31" customFormat="1" ht="21" customHeight="1" x14ac:dyDescent="0.45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1" x14ac:dyDescent="0.35">
      <c r="D5" s="27" t="s">
        <v>0</v>
      </c>
      <c r="E5" s="131" t="s">
        <v>108</v>
      </c>
      <c r="F5" s="131"/>
      <c r="G5" s="131"/>
      <c r="H5" s="132"/>
    </row>
    <row r="6" spans="1:11" x14ac:dyDescent="0.35">
      <c r="D6" s="27" t="s">
        <v>106</v>
      </c>
      <c r="E6" s="131"/>
      <c r="F6" s="131"/>
      <c r="G6" s="131"/>
      <c r="H6" s="132"/>
    </row>
    <row r="7" spans="1:11" x14ac:dyDescent="0.35">
      <c r="D7" s="27" t="s">
        <v>107</v>
      </c>
      <c r="E7" s="131" t="s">
        <v>103</v>
      </c>
      <c r="F7" s="131"/>
      <c r="G7" s="131"/>
      <c r="H7" s="132"/>
    </row>
    <row r="8" spans="1:11" x14ac:dyDescent="0.35">
      <c r="D8" s="27" t="s">
        <v>77</v>
      </c>
      <c r="E8" s="133" t="str">
        <f>+'TMG-308'!E8:H8</f>
        <v>TALLER DE MODALIDAD DE GRADUACIÓN</v>
      </c>
      <c r="F8" s="134"/>
      <c r="G8" s="134"/>
      <c r="H8" s="135"/>
      <c r="I8" s="27" t="s">
        <v>80</v>
      </c>
      <c r="J8" s="132" t="str">
        <f>+'TMG-308'!J8:K8</f>
        <v>TMG-308</v>
      </c>
      <c r="K8" s="136"/>
    </row>
    <row r="9" spans="1:11" x14ac:dyDescent="0.35">
      <c r="D9" s="27" t="s">
        <v>78</v>
      </c>
      <c r="E9" s="133" t="s">
        <v>160</v>
      </c>
      <c r="F9" s="134"/>
      <c r="G9" s="134"/>
      <c r="H9" s="135"/>
      <c r="I9" s="11"/>
      <c r="J9" s="11"/>
    </row>
    <row r="10" spans="1:11" x14ac:dyDescent="0.35">
      <c r="D10" s="27" t="s">
        <v>79</v>
      </c>
      <c r="E10" s="132" t="str">
        <f>+'COA-301'!E10:H10</f>
        <v>TERCER AÑO</v>
      </c>
      <c r="F10" s="136"/>
      <c r="G10" s="136"/>
      <c r="H10" s="137"/>
      <c r="I10" s="28" t="s">
        <v>52</v>
      </c>
      <c r="J10" s="132">
        <f>+'COA-301'!J10:K10</f>
        <v>2022</v>
      </c>
      <c r="K10" s="136"/>
    </row>
    <row r="12" spans="1:11" ht="34.5" customHeight="1" x14ac:dyDescent="0.35">
      <c r="C12" s="55" t="s">
        <v>76</v>
      </c>
      <c r="D12" s="138" t="s">
        <v>67</v>
      </c>
      <c r="E12" s="138"/>
      <c r="F12" s="36" t="s">
        <v>95</v>
      </c>
      <c r="G12" s="36" t="s">
        <v>94</v>
      </c>
      <c r="H12" s="36" t="s">
        <v>96</v>
      </c>
      <c r="I12" s="36" t="s">
        <v>97</v>
      </c>
      <c r="J12" s="139" t="s">
        <v>98</v>
      </c>
      <c r="K12" s="140"/>
    </row>
    <row r="13" spans="1:11" ht="13.5" customHeight="1" x14ac:dyDescent="0.35">
      <c r="C13" s="30">
        <v>1</v>
      </c>
      <c r="D13" s="168" t="str">
        <f>+'COA-301 N'!D13:E13</f>
        <v>Atocha Mamani Ruben</v>
      </c>
      <c r="E13" s="168"/>
      <c r="F13" s="32">
        <v>10</v>
      </c>
      <c r="G13" s="32">
        <v>56</v>
      </c>
      <c r="H13" s="35">
        <f>+F13+G13</f>
        <v>66</v>
      </c>
      <c r="I13" s="32"/>
      <c r="J13" s="127" t="str">
        <f>IF(H13=0,"Abandono",IF(OR(H13&gt;=61,I13=61),"Aprobado","Reprobado"))</f>
        <v>Aprobado</v>
      </c>
      <c r="K13" s="128"/>
    </row>
    <row r="14" spans="1:11" ht="12.75" customHeight="1" x14ac:dyDescent="0.35">
      <c r="C14" s="30">
        <v>2</v>
      </c>
      <c r="D14" s="168" t="str">
        <f>+'COA-301 N'!D14:E14</f>
        <v>Bautista Yucra Judith</v>
      </c>
      <c r="E14" s="168"/>
      <c r="F14" s="32">
        <v>16</v>
      </c>
      <c r="G14" s="32">
        <v>70</v>
      </c>
      <c r="H14" s="35">
        <f t="shared" ref="H14:H37" si="0">+F14+G14</f>
        <v>86</v>
      </c>
      <c r="I14" s="32"/>
      <c r="J14" s="127" t="str">
        <f t="shared" ref="J14:J32" si="1">IF(H14=0,"Abandono",IF(OR(H14&gt;=61,I14=61),"Aprobado","Reprobado"))</f>
        <v>Aprobado</v>
      </c>
      <c r="K14" s="128"/>
    </row>
    <row r="15" spans="1:11" ht="12.75" customHeight="1" x14ac:dyDescent="0.35">
      <c r="C15" s="30">
        <v>3</v>
      </c>
      <c r="D15" s="168" t="str">
        <f>+'COA-301 N'!D15:E15</f>
        <v>Bejarano Loras Douglas</v>
      </c>
      <c r="E15" s="168"/>
      <c r="F15" s="32">
        <v>20</v>
      </c>
      <c r="G15" s="32">
        <v>30</v>
      </c>
      <c r="H15" s="35">
        <f t="shared" si="0"/>
        <v>50</v>
      </c>
      <c r="I15" s="32">
        <v>61</v>
      </c>
      <c r="J15" s="127" t="str">
        <f t="shared" si="1"/>
        <v>Aprobado</v>
      </c>
      <c r="K15" s="128"/>
    </row>
    <row r="16" spans="1:11" ht="12.75" customHeight="1" x14ac:dyDescent="0.35">
      <c r="C16" s="30">
        <v>4</v>
      </c>
      <c r="D16" s="168" t="str">
        <f>+'COA-301 N'!D16:E16</f>
        <v>Choque Paillo Jaime</v>
      </c>
      <c r="E16" s="168"/>
      <c r="F16" s="32">
        <v>18</v>
      </c>
      <c r="G16" s="32">
        <v>70</v>
      </c>
      <c r="H16" s="35">
        <f t="shared" si="0"/>
        <v>88</v>
      </c>
      <c r="I16" s="32"/>
      <c r="J16" s="127" t="str">
        <f t="shared" si="1"/>
        <v>Aprobado</v>
      </c>
      <c r="K16" s="128"/>
    </row>
    <row r="17" spans="3:11" ht="12.75" customHeight="1" x14ac:dyDescent="0.35">
      <c r="C17" s="30">
        <v>5</v>
      </c>
      <c r="D17" s="168" t="str">
        <f>+'COA-301 N'!D17:E17</f>
        <v>Coaquira Coaquira Monica</v>
      </c>
      <c r="E17" s="168"/>
      <c r="F17" s="32">
        <v>0</v>
      </c>
      <c r="G17" s="32">
        <v>0</v>
      </c>
      <c r="H17" s="35">
        <f t="shared" si="0"/>
        <v>0</v>
      </c>
      <c r="I17" s="32"/>
      <c r="J17" s="127" t="str">
        <f t="shared" si="1"/>
        <v>Abandono</v>
      </c>
      <c r="K17" s="128"/>
    </row>
    <row r="18" spans="3:11" ht="12.75" customHeight="1" x14ac:dyDescent="0.35">
      <c r="C18" s="30">
        <v>6</v>
      </c>
      <c r="D18" s="168" t="str">
        <f>+'COA-301 N'!D18:E18</f>
        <v>Colque Ayala Carla Lorena</v>
      </c>
      <c r="E18" s="168"/>
      <c r="F18" s="32">
        <v>12</v>
      </c>
      <c r="G18" s="32">
        <v>58</v>
      </c>
      <c r="H18" s="35">
        <f t="shared" si="0"/>
        <v>70</v>
      </c>
      <c r="I18" s="32"/>
      <c r="J18" s="127" t="str">
        <f t="shared" si="1"/>
        <v>Aprobado</v>
      </c>
      <c r="K18" s="128"/>
    </row>
    <row r="19" spans="3:11" ht="12.75" customHeight="1" x14ac:dyDescent="0.35">
      <c r="C19" s="30">
        <v>7</v>
      </c>
      <c r="D19" s="168" t="str">
        <f>+'COA-301 N'!D19:E19</f>
        <v>Condori Titichoca Dieter Jherson</v>
      </c>
      <c r="E19" s="168"/>
      <c r="F19" s="32">
        <v>0</v>
      </c>
      <c r="G19" s="32">
        <v>0</v>
      </c>
      <c r="H19" s="35">
        <f t="shared" si="0"/>
        <v>0</v>
      </c>
      <c r="I19" s="32"/>
      <c r="J19" s="127" t="str">
        <f t="shared" si="1"/>
        <v>Abandono</v>
      </c>
      <c r="K19" s="128"/>
    </row>
    <row r="20" spans="3:11" ht="12.75" customHeight="1" x14ac:dyDescent="0.35">
      <c r="C20" s="30">
        <v>8</v>
      </c>
      <c r="D20" s="168" t="str">
        <f>+'COA-301 N'!D20:E20</f>
        <v>Del Carpio Lora Marisela</v>
      </c>
      <c r="E20" s="168"/>
      <c r="F20" s="32">
        <v>0</v>
      </c>
      <c r="G20" s="32">
        <v>0</v>
      </c>
      <c r="H20" s="35">
        <f t="shared" si="0"/>
        <v>0</v>
      </c>
      <c r="I20" s="32"/>
      <c r="J20" s="127" t="str">
        <f t="shared" si="1"/>
        <v>Abandono</v>
      </c>
      <c r="K20" s="128"/>
    </row>
    <row r="21" spans="3:11" ht="12.75" customHeight="1" x14ac:dyDescent="0.35">
      <c r="C21" s="30">
        <v>9</v>
      </c>
      <c r="D21" s="168" t="str">
        <f>+'COA-301 N'!D21:E21</f>
        <v>Felipez Veliz Ronald</v>
      </c>
      <c r="E21" s="168"/>
      <c r="F21" s="32">
        <v>22</v>
      </c>
      <c r="G21" s="32">
        <v>41</v>
      </c>
      <c r="H21" s="35">
        <f t="shared" si="0"/>
        <v>63</v>
      </c>
      <c r="I21" s="32"/>
      <c r="J21" s="127" t="str">
        <f t="shared" si="1"/>
        <v>Aprobado</v>
      </c>
      <c r="K21" s="128"/>
    </row>
    <row r="22" spans="3:11" ht="12.75" customHeight="1" x14ac:dyDescent="0.35">
      <c r="C22" s="30">
        <v>10</v>
      </c>
      <c r="D22" s="168" t="str">
        <f>+'COA-301 N'!D22:E22</f>
        <v>Fulguera Callata Jonathan</v>
      </c>
      <c r="E22" s="168"/>
      <c r="F22" s="32">
        <v>16</v>
      </c>
      <c r="G22" s="32">
        <v>66</v>
      </c>
      <c r="H22" s="35">
        <f t="shared" si="0"/>
        <v>82</v>
      </c>
      <c r="I22" s="32"/>
      <c r="J22" s="127" t="str">
        <f t="shared" si="1"/>
        <v>Aprobado</v>
      </c>
      <c r="K22" s="128"/>
    </row>
    <row r="23" spans="3:11" ht="12.75" customHeight="1" x14ac:dyDescent="0.35">
      <c r="C23" s="30">
        <v>11</v>
      </c>
      <c r="D23" s="168" t="str">
        <f>+'COA-301 N'!D23:E23</f>
        <v>Huarayo Cunurana Maribel</v>
      </c>
      <c r="E23" s="168"/>
      <c r="F23" s="32">
        <v>10</v>
      </c>
      <c r="G23" s="32">
        <v>59</v>
      </c>
      <c r="H23" s="35">
        <f t="shared" si="0"/>
        <v>69</v>
      </c>
      <c r="I23" s="32"/>
      <c r="J23" s="127" t="str">
        <f t="shared" si="1"/>
        <v>Aprobado</v>
      </c>
      <c r="K23" s="128"/>
    </row>
    <row r="24" spans="3:11" ht="12.75" customHeight="1" x14ac:dyDescent="0.35">
      <c r="C24" s="30">
        <v>12</v>
      </c>
      <c r="D24" s="168" t="str">
        <f>+'COA-301 N'!D24:E24</f>
        <v>Jamillo Cruz Jenny Laura</v>
      </c>
      <c r="E24" s="168"/>
      <c r="F24" s="32">
        <v>0</v>
      </c>
      <c r="G24" s="32">
        <v>0</v>
      </c>
      <c r="H24" s="35">
        <f t="shared" si="0"/>
        <v>0</v>
      </c>
      <c r="I24" s="32"/>
      <c r="J24" s="127" t="str">
        <f t="shared" si="1"/>
        <v>Abandono</v>
      </c>
      <c r="K24" s="128"/>
    </row>
    <row r="25" spans="3:11" ht="12.75" customHeight="1" x14ac:dyDescent="0.35">
      <c r="C25" s="30">
        <v>13</v>
      </c>
      <c r="D25" s="168" t="str">
        <f>+'COA-301 N'!D25:E25</f>
        <v>Loaiza Lopez Jaime</v>
      </c>
      <c r="E25" s="168"/>
      <c r="F25" s="32">
        <v>0</v>
      </c>
      <c r="G25" s="32">
        <v>0</v>
      </c>
      <c r="H25" s="35">
        <f t="shared" si="0"/>
        <v>0</v>
      </c>
      <c r="I25" s="32"/>
      <c r="J25" s="127" t="str">
        <f t="shared" si="1"/>
        <v>Abandono</v>
      </c>
      <c r="K25" s="128"/>
    </row>
    <row r="26" spans="3:11" ht="12.75" customHeight="1" x14ac:dyDescent="0.35">
      <c r="C26" s="30">
        <v>14</v>
      </c>
      <c r="D26" s="168" t="str">
        <f>+'COA-301 N'!D26:E26</f>
        <v>Lopez Sausiri Luis Alberto</v>
      </c>
      <c r="E26" s="168"/>
      <c r="F26" s="32">
        <v>16</v>
      </c>
      <c r="G26" s="32">
        <v>65</v>
      </c>
      <c r="H26" s="35">
        <f t="shared" si="0"/>
        <v>81</v>
      </c>
      <c r="I26" s="32"/>
      <c r="J26" s="127" t="str">
        <f t="shared" si="1"/>
        <v>Aprobado</v>
      </c>
      <c r="K26" s="128"/>
    </row>
    <row r="27" spans="3:11" ht="12.75" customHeight="1" x14ac:dyDescent="0.35">
      <c r="C27" s="30">
        <v>15</v>
      </c>
      <c r="D27" s="168" t="str">
        <f>+'COA-301 N'!D27:E27</f>
        <v>Martinez Mamani Gladis</v>
      </c>
      <c r="E27" s="168"/>
      <c r="F27" s="32">
        <v>0</v>
      </c>
      <c r="G27" s="32">
        <v>0</v>
      </c>
      <c r="H27" s="35">
        <f t="shared" si="0"/>
        <v>0</v>
      </c>
      <c r="I27" s="32"/>
      <c r="J27" s="127" t="str">
        <f t="shared" si="1"/>
        <v>Abandono</v>
      </c>
      <c r="K27" s="128"/>
    </row>
    <row r="28" spans="3:11" ht="12.75" customHeight="1" x14ac:dyDescent="0.35">
      <c r="C28" s="30">
        <v>16</v>
      </c>
      <c r="D28" s="168" t="str">
        <f>+'COA-301 N'!D28:E28</f>
        <v>Poma Condori Juan Luis</v>
      </c>
      <c r="E28" s="168"/>
      <c r="F28" s="32">
        <v>21</v>
      </c>
      <c r="G28" s="32">
        <v>32</v>
      </c>
      <c r="H28" s="35">
        <f t="shared" si="0"/>
        <v>53</v>
      </c>
      <c r="I28" s="32">
        <v>61</v>
      </c>
      <c r="J28" s="127" t="str">
        <f t="shared" si="1"/>
        <v>Aprobado</v>
      </c>
      <c r="K28" s="128"/>
    </row>
    <row r="29" spans="3:11" ht="12.75" customHeight="1" x14ac:dyDescent="0.35">
      <c r="C29" s="30">
        <v>17</v>
      </c>
      <c r="D29" s="168" t="str">
        <f>+'COA-301 N'!D29:E29</f>
        <v>Puma Choque Veronica</v>
      </c>
      <c r="E29" s="168"/>
      <c r="F29" s="32">
        <v>19</v>
      </c>
      <c r="G29" s="32">
        <v>70</v>
      </c>
      <c r="H29" s="35">
        <f t="shared" si="0"/>
        <v>89</v>
      </c>
      <c r="I29" s="32"/>
      <c r="J29" s="127" t="str">
        <f t="shared" si="1"/>
        <v>Aprobado</v>
      </c>
      <c r="K29" s="128"/>
    </row>
    <row r="30" spans="3:11" ht="15" customHeight="1" x14ac:dyDescent="0.35">
      <c r="C30" s="30">
        <v>18</v>
      </c>
      <c r="D30" s="168" t="str">
        <f>+'COA-301 N'!D30:E30</f>
        <v>Quinta Quisbert Melinda Cecilia</v>
      </c>
      <c r="E30" s="168"/>
      <c r="F30" s="32">
        <v>17</v>
      </c>
      <c r="G30" s="32">
        <v>65</v>
      </c>
      <c r="H30" s="35">
        <f t="shared" si="0"/>
        <v>82</v>
      </c>
      <c r="I30" s="32"/>
      <c r="J30" s="127" t="str">
        <f t="shared" si="1"/>
        <v>Aprobado</v>
      </c>
      <c r="K30" s="128"/>
    </row>
    <row r="31" spans="3:11" ht="15" customHeight="1" x14ac:dyDescent="0.35">
      <c r="C31" s="30">
        <v>19</v>
      </c>
      <c r="D31" s="168" t="str">
        <f>+'COA-301 N'!D31:E31</f>
        <v>Quiñones Rueda Israel</v>
      </c>
      <c r="E31" s="168"/>
      <c r="F31" s="32">
        <v>9</v>
      </c>
      <c r="G31" s="32">
        <v>61</v>
      </c>
      <c r="H31" s="35">
        <f t="shared" si="0"/>
        <v>70</v>
      </c>
      <c r="I31" s="32"/>
      <c r="J31" s="127" t="str">
        <f t="shared" si="1"/>
        <v>Aprobado</v>
      </c>
      <c r="K31" s="128"/>
    </row>
    <row r="32" spans="3:11" ht="15" customHeight="1" x14ac:dyDescent="0.35">
      <c r="C32" s="30">
        <v>20</v>
      </c>
      <c r="D32" s="168" t="str">
        <f>+'COA-301 N'!D32:E32</f>
        <v>Quispe Quispe Jorge Luis</v>
      </c>
      <c r="E32" s="168"/>
      <c r="F32" s="32">
        <v>14</v>
      </c>
      <c r="G32" s="32">
        <v>65</v>
      </c>
      <c r="H32" s="35">
        <f t="shared" si="0"/>
        <v>79</v>
      </c>
      <c r="I32" s="32"/>
      <c r="J32" s="127" t="str">
        <f t="shared" si="1"/>
        <v>Aprobado</v>
      </c>
      <c r="K32" s="128"/>
    </row>
    <row r="33" spans="3:11" ht="15" customHeight="1" x14ac:dyDescent="0.35">
      <c r="C33" s="30">
        <v>21</v>
      </c>
      <c r="D33" s="168" t="str">
        <f>+'COA-301 N'!D33:E33</f>
        <v>Riva Loroño Jhoana Celina</v>
      </c>
      <c r="E33" s="168"/>
      <c r="F33" s="32">
        <v>10</v>
      </c>
      <c r="G33" s="32">
        <v>66</v>
      </c>
      <c r="H33" s="35">
        <f t="shared" si="0"/>
        <v>76</v>
      </c>
      <c r="I33" s="32"/>
      <c r="J33" s="127" t="str">
        <f t="shared" ref="J33:J37" si="2">IF(H33=0,"Abandono",IF(OR(H33&gt;=61,I33=61),"Aprobado","Reprobado"))</f>
        <v>Aprobado</v>
      </c>
      <c r="K33" s="128"/>
    </row>
    <row r="34" spans="3:11" ht="15" customHeight="1" x14ac:dyDescent="0.35">
      <c r="C34" s="30">
        <v>22</v>
      </c>
      <c r="D34" s="168" t="str">
        <f>+'COA-301 N'!D34:E34</f>
        <v>Romero Rodriguez Victor Hugo</v>
      </c>
      <c r="E34" s="168"/>
      <c r="F34" s="32">
        <v>20</v>
      </c>
      <c r="G34" s="32">
        <v>33</v>
      </c>
      <c r="H34" s="35">
        <f t="shared" si="0"/>
        <v>53</v>
      </c>
      <c r="I34" s="32">
        <v>61</v>
      </c>
      <c r="J34" s="127" t="str">
        <f t="shared" si="2"/>
        <v>Aprobado</v>
      </c>
      <c r="K34" s="128"/>
    </row>
    <row r="35" spans="3:11" ht="15" customHeight="1" x14ac:dyDescent="0.35">
      <c r="C35" s="30">
        <v>23</v>
      </c>
      <c r="D35" s="168" t="str">
        <f>+'COA-301 N'!D35:E35</f>
        <v>Santos Tola Carla Alejandra</v>
      </c>
      <c r="E35" s="168"/>
      <c r="F35" s="32">
        <v>15</v>
      </c>
      <c r="G35" s="32">
        <v>34</v>
      </c>
      <c r="H35" s="35">
        <f t="shared" si="0"/>
        <v>49</v>
      </c>
      <c r="I35" s="32">
        <v>61</v>
      </c>
      <c r="J35" s="127" t="str">
        <f t="shared" si="2"/>
        <v>Aprobado</v>
      </c>
      <c r="K35" s="128"/>
    </row>
    <row r="36" spans="3:11" ht="15" customHeight="1" x14ac:dyDescent="0.35">
      <c r="C36" s="30">
        <v>24</v>
      </c>
      <c r="D36" s="168" t="str">
        <f>+'COA-301 N'!D36:E36</f>
        <v>Tito Yucra Leiddy Olimpia</v>
      </c>
      <c r="E36" s="168"/>
      <c r="F36" s="32">
        <v>16</v>
      </c>
      <c r="G36" s="32">
        <v>69</v>
      </c>
      <c r="H36" s="35">
        <f t="shared" si="0"/>
        <v>85</v>
      </c>
      <c r="I36" s="32"/>
      <c r="J36" s="127" t="str">
        <f t="shared" si="2"/>
        <v>Aprobado</v>
      </c>
      <c r="K36" s="128"/>
    </row>
    <row r="37" spans="3:11" x14ac:dyDescent="0.35">
      <c r="C37" s="30">
        <v>25</v>
      </c>
      <c r="D37" s="168" t="str">
        <f>+'COA-301 N'!D37:E37</f>
        <v>Virreira Cano Nhataly Alizon</v>
      </c>
      <c r="E37" s="168"/>
      <c r="F37" s="32">
        <v>12</v>
      </c>
      <c r="G37" s="32">
        <v>50</v>
      </c>
      <c r="H37" s="35">
        <f t="shared" si="0"/>
        <v>62</v>
      </c>
      <c r="I37" s="32"/>
      <c r="J37" s="127" t="str">
        <f t="shared" si="2"/>
        <v>Aprobado</v>
      </c>
      <c r="K37" s="128"/>
    </row>
    <row r="38" spans="3:11" x14ac:dyDescent="0.35">
      <c r="C38" s="30"/>
      <c r="D38" s="148"/>
      <c r="E38" s="148"/>
      <c r="F38" s="32"/>
      <c r="G38" s="32"/>
      <c r="H38" s="35"/>
      <c r="I38" s="32"/>
      <c r="J38" s="127"/>
      <c r="K38" s="128"/>
    </row>
    <row r="39" spans="3:11" x14ac:dyDescent="0.35">
      <c r="C39" s="30"/>
      <c r="D39" s="148"/>
      <c r="E39" s="148"/>
      <c r="F39" s="32"/>
      <c r="G39" s="32"/>
      <c r="H39" s="35"/>
      <c r="I39" s="32"/>
      <c r="J39" s="127"/>
      <c r="K39" s="128"/>
    </row>
    <row r="40" spans="3:11" ht="12.75" customHeight="1" x14ac:dyDescent="0.35">
      <c r="C40" s="30"/>
      <c r="D40" s="148"/>
      <c r="E40" s="148"/>
      <c r="F40" s="32"/>
      <c r="G40" s="32"/>
      <c r="H40" s="35"/>
      <c r="I40" s="32"/>
      <c r="J40" s="127"/>
      <c r="K40" s="128"/>
    </row>
    <row r="41" spans="3:11" x14ac:dyDescent="0.35">
      <c r="C41" s="30"/>
      <c r="D41" s="148"/>
      <c r="E41" s="148"/>
      <c r="F41" s="32"/>
      <c r="G41" s="32"/>
      <c r="H41" s="35"/>
      <c r="I41" s="32"/>
      <c r="J41" s="127"/>
      <c r="K41" s="128"/>
    </row>
    <row r="42" spans="3:11" x14ac:dyDescent="0.35">
      <c r="C42" s="30"/>
      <c r="D42" s="148"/>
      <c r="E42" s="148"/>
      <c r="F42" s="32"/>
      <c r="G42" s="32"/>
      <c r="H42" s="35"/>
      <c r="I42" s="32"/>
      <c r="J42" s="127"/>
      <c r="K42" s="128"/>
    </row>
    <row r="43" spans="3:11" x14ac:dyDescent="0.35">
      <c r="C43" s="30"/>
      <c r="D43" s="148"/>
      <c r="E43" s="148"/>
      <c r="F43" s="32"/>
      <c r="G43" s="32"/>
      <c r="H43" s="35"/>
      <c r="I43" s="32"/>
      <c r="J43" s="127"/>
      <c r="K43" s="128"/>
    </row>
    <row r="44" spans="3:11" x14ac:dyDescent="0.35">
      <c r="C44" s="30"/>
      <c r="D44" s="148"/>
      <c r="E44" s="148"/>
      <c r="F44" s="32"/>
      <c r="G44" s="32"/>
      <c r="H44" s="35"/>
      <c r="I44" s="32"/>
      <c r="J44" s="127"/>
      <c r="K44" s="128"/>
    </row>
    <row r="45" spans="3:11" ht="14.25" customHeight="1" x14ac:dyDescent="0.35">
      <c r="C45" s="30"/>
      <c r="D45" s="148"/>
      <c r="E45" s="148"/>
      <c r="F45" s="32"/>
      <c r="G45" s="32"/>
      <c r="H45" s="35"/>
      <c r="I45" s="32"/>
      <c r="J45" s="127"/>
      <c r="K45" s="128"/>
    </row>
    <row r="46" spans="3:11" x14ac:dyDescent="0.35">
      <c r="C46" s="30"/>
      <c r="D46" s="148"/>
      <c r="E46" s="148"/>
      <c r="F46" s="34"/>
      <c r="G46" s="34"/>
      <c r="H46" s="35"/>
      <c r="I46" s="34"/>
      <c r="J46" s="127"/>
      <c r="K46" s="128"/>
    </row>
    <row r="47" spans="3:11" x14ac:dyDescent="0.35">
      <c r="C47" s="30"/>
      <c r="D47" s="149"/>
      <c r="E47" s="149"/>
      <c r="F47" s="34"/>
      <c r="G47" s="34"/>
      <c r="H47" s="35"/>
      <c r="I47" s="34"/>
      <c r="J47" s="127"/>
      <c r="K47" s="128"/>
    </row>
    <row r="50" spans="1:11" x14ac:dyDescent="0.35">
      <c r="G50" s="150" t="s">
        <v>83</v>
      </c>
      <c r="H50" s="150"/>
      <c r="I50" s="47" t="s">
        <v>81</v>
      </c>
      <c r="J50" s="151" t="s">
        <v>82</v>
      </c>
      <c r="K50" s="152"/>
    </row>
    <row r="51" spans="1:11" x14ac:dyDescent="0.35">
      <c r="G51" s="153" t="s">
        <v>92</v>
      </c>
      <c r="H51" s="153"/>
      <c r="I51" s="37">
        <f>COUNT(C13:C47)</f>
        <v>25</v>
      </c>
      <c r="J51" s="154">
        <v>1</v>
      </c>
      <c r="K51" s="155"/>
    </row>
    <row r="52" spans="1:11" x14ac:dyDescent="0.35">
      <c r="G52" s="153" t="s">
        <v>84</v>
      </c>
      <c r="H52" s="153"/>
      <c r="I52" s="33">
        <f>COUNTIF(J13:K47,"Aprobado")</f>
        <v>19</v>
      </c>
      <c r="J52" s="154">
        <f>(I52*J51)/I51</f>
        <v>0.76</v>
      </c>
      <c r="K52" s="155"/>
    </row>
    <row r="53" spans="1:11" x14ac:dyDescent="0.35">
      <c r="G53" s="153" t="s">
        <v>93</v>
      </c>
      <c r="H53" s="153"/>
      <c r="I53" s="33">
        <f>COUNTIF(J13:K47,"Reprobado")</f>
        <v>0</v>
      </c>
      <c r="J53" s="154">
        <f>(I53*J51)/I51</f>
        <v>0</v>
      </c>
      <c r="K53" s="155"/>
    </row>
    <row r="54" spans="1:11" x14ac:dyDescent="0.35">
      <c r="G54" s="153" t="s">
        <v>85</v>
      </c>
      <c r="H54" s="153"/>
      <c r="I54" s="33">
        <f>COUNTIF(J13:J47,"Abandono")</f>
        <v>6</v>
      </c>
      <c r="J54" s="154">
        <f>(I54*J51)/I51</f>
        <v>0.24</v>
      </c>
      <c r="K54" s="155"/>
    </row>
    <row r="61" spans="1:11" x14ac:dyDescent="0.35">
      <c r="A61" s="26"/>
      <c r="B61" s="102" t="s">
        <v>91</v>
      </c>
      <c r="C61" s="102"/>
      <c r="D61" s="102"/>
      <c r="E61" s="26"/>
      <c r="F61" s="102" t="s">
        <v>86</v>
      </c>
      <c r="G61" s="102"/>
      <c r="H61" s="26"/>
      <c r="I61" s="102" t="s">
        <v>90</v>
      </c>
      <c r="J61" s="102"/>
      <c r="K61" s="102"/>
    </row>
    <row r="62" spans="1:11" x14ac:dyDescent="0.35">
      <c r="A62" s="26"/>
      <c r="B62" s="102" t="s">
        <v>87</v>
      </c>
      <c r="C62" s="102"/>
      <c r="D62" s="102"/>
      <c r="E62" s="26"/>
      <c r="F62" s="102" t="s">
        <v>89</v>
      </c>
      <c r="G62" s="102"/>
      <c r="H62" s="26"/>
      <c r="I62" s="102" t="s">
        <v>88</v>
      </c>
      <c r="J62" s="102"/>
      <c r="K62" s="102"/>
    </row>
  </sheetData>
  <mergeCells count="98">
    <mergeCell ref="B61:D61"/>
    <mergeCell ref="F61:G61"/>
    <mergeCell ref="I61:K61"/>
    <mergeCell ref="B62:D62"/>
    <mergeCell ref="F62:G62"/>
    <mergeCell ref="I62:K62"/>
    <mergeCell ref="G52:H52"/>
    <mergeCell ref="J52:K52"/>
    <mergeCell ref="G53:H53"/>
    <mergeCell ref="J53:K53"/>
    <mergeCell ref="G54:H54"/>
    <mergeCell ref="J54:K54"/>
    <mergeCell ref="D47:E47"/>
    <mergeCell ref="J47:K47"/>
    <mergeCell ref="G50:H50"/>
    <mergeCell ref="J50:K50"/>
    <mergeCell ref="G51:H51"/>
    <mergeCell ref="J51:K51"/>
    <mergeCell ref="D44:E44"/>
    <mergeCell ref="J44:K44"/>
    <mergeCell ref="D45:E45"/>
    <mergeCell ref="J45:K45"/>
    <mergeCell ref="D46:E46"/>
    <mergeCell ref="J46:K46"/>
    <mergeCell ref="D41:E41"/>
    <mergeCell ref="J41:K41"/>
    <mergeCell ref="D42:E42"/>
    <mergeCell ref="J42:K42"/>
    <mergeCell ref="D43:E43"/>
    <mergeCell ref="J43:K43"/>
    <mergeCell ref="D38:E38"/>
    <mergeCell ref="J38:K38"/>
    <mergeCell ref="D39:E39"/>
    <mergeCell ref="J39:K39"/>
    <mergeCell ref="D40:E40"/>
    <mergeCell ref="J40:K40"/>
    <mergeCell ref="D35:E35"/>
    <mergeCell ref="J35:K35"/>
    <mergeCell ref="D36:E36"/>
    <mergeCell ref="J36:K36"/>
    <mergeCell ref="D37:E37"/>
    <mergeCell ref="J37:K37"/>
    <mergeCell ref="D32:E32"/>
    <mergeCell ref="J32:K32"/>
    <mergeCell ref="D33:E33"/>
    <mergeCell ref="J33:K33"/>
    <mergeCell ref="D34:E34"/>
    <mergeCell ref="J34:K34"/>
    <mergeCell ref="D29:E29"/>
    <mergeCell ref="J29:K29"/>
    <mergeCell ref="D30:E30"/>
    <mergeCell ref="J30:K30"/>
    <mergeCell ref="D31:E31"/>
    <mergeCell ref="J31:K31"/>
    <mergeCell ref="D26:E26"/>
    <mergeCell ref="J26:K26"/>
    <mergeCell ref="D27:E27"/>
    <mergeCell ref="J27:K27"/>
    <mergeCell ref="D28:E28"/>
    <mergeCell ref="J28:K28"/>
    <mergeCell ref="D23:E23"/>
    <mergeCell ref="J23:K23"/>
    <mergeCell ref="D24:E24"/>
    <mergeCell ref="J24:K24"/>
    <mergeCell ref="D25:E25"/>
    <mergeCell ref="J25:K25"/>
    <mergeCell ref="D20:E20"/>
    <mergeCell ref="J20:K20"/>
    <mergeCell ref="D21:E21"/>
    <mergeCell ref="J21:K21"/>
    <mergeCell ref="D22:E22"/>
    <mergeCell ref="J22:K22"/>
    <mergeCell ref="D17:E17"/>
    <mergeCell ref="J17:K17"/>
    <mergeCell ref="D18:E18"/>
    <mergeCell ref="J18:K18"/>
    <mergeCell ref="D19:E19"/>
    <mergeCell ref="J19:K19"/>
    <mergeCell ref="D14:E14"/>
    <mergeCell ref="J14:K14"/>
    <mergeCell ref="D15:E15"/>
    <mergeCell ref="J15:K15"/>
    <mergeCell ref="D16:E16"/>
    <mergeCell ref="J16:K16"/>
    <mergeCell ref="D13:E13"/>
    <mergeCell ref="J13:K13"/>
    <mergeCell ref="A1:B3"/>
    <mergeCell ref="A4:K4"/>
    <mergeCell ref="E5:H5"/>
    <mergeCell ref="E6:H6"/>
    <mergeCell ref="E7:H7"/>
    <mergeCell ref="E8:H8"/>
    <mergeCell ref="J8:K8"/>
    <mergeCell ref="E9:H9"/>
    <mergeCell ref="E10:H10"/>
    <mergeCell ref="J10:K10"/>
    <mergeCell ref="D12:E12"/>
    <mergeCell ref="J12:K12"/>
  </mergeCells>
  <pageMargins left="1.1023622047244095" right="0.11811023622047245" top="0.35433070866141736" bottom="0.35433070866141736" header="0.31496062992125984" footer="0.31496062992125984"/>
  <pageSetup scale="7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'[2]LISTA 2'!#REF!</xm:f>
          </x14:formula1>
          <xm:sqref>A4:K4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I65"/>
  <sheetViews>
    <sheetView showGridLines="0" showRowColHeaders="0" zoomScaleNormal="100" zoomScaleSheetLayoutView="100" workbookViewId="0">
      <selection activeCell="G5" sqref="G5:H5"/>
    </sheetView>
  </sheetViews>
  <sheetFormatPr baseColWidth="10" defaultRowHeight="14.5" x14ac:dyDescent="0.35"/>
  <cols>
    <col min="1" max="1" width="8.26953125" customWidth="1"/>
    <col min="2" max="2" width="7.7265625" customWidth="1"/>
    <col min="3" max="3" width="5.26953125" customWidth="1"/>
    <col min="4" max="4" width="7.7265625" customWidth="1"/>
    <col min="5" max="5" width="12.54296875" customWidth="1"/>
    <col min="6" max="6" width="19.36328125" customWidth="1"/>
    <col min="7" max="7" width="17.81640625" customWidth="1"/>
    <col min="8" max="8" width="20.26953125" customWidth="1"/>
  </cols>
  <sheetData>
    <row r="3" spans="1:9" ht="18" customHeight="1" x14ac:dyDescent="0.45">
      <c r="C3" s="196" t="s">
        <v>132</v>
      </c>
      <c r="D3" s="196"/>
      <c r="E3" s="196"/>
      <c r="F3" s="196"/>
      <c r="G3" s="196"/>
      <c r="H3" s="196"/>
    </row>
    <row r="4" spans="1:9" x14ac:dyDescent="0.35">
      <c r="A4" s="197" t="s">
        <v>26</v>
      </c>
      <c r="B4" s="197"/>
      <c r="C4" s="197"/>
      <c r="D4" s="197"/>
      <c r="E4" s="197"/>
      <c r="F4" s="197"/>
      <c r="G4" s="197"/>
      <c r="H4" s="197"/>
      <c r="I4" s="197"/>
    </row>
    <row r="5" spans="1:9" ht="18.5" x14ac:dyDescent="0.45">
      <c r="C5" s="198" t="s">
        <v>133</v>
      </c>
      <c r="D5" s="198"/>
      <c r="E5" s="198"/>
      <c r="F5" s="198"/>
      <c r="G5" s="199">
        <v>2021</v>
      </c>
      <c r="H5" s="199"/>
    </row>
    <row r="7" spans="1:9" x14ac:dyDescent="0.35">
      <c r="C7" s="200" t="s">
        <v>0</v>
      </c>
      <c r="D7" s="200"/>
      <c r="E7" s="200"/>
      <c r="F7" s="201" t="s">
        <v>108</v>
      </c>
      <c r="G7" s="201"/>
    </row>
    <row r="8" spans="1:9" ht="13.5" customHeight="1" x14ac:dyDescent="0.35"/>
    <row r="9" spans="1:9" x14ac:dyDescent="0.35">
      <c r="C9" s="61" t="s">
        <v>135</v>
      </c>
      <c r="D9" s="195" t="s">
        <v>136</v>
      </c>
      <c r="E9" s="195"/>
      <c r="F9" s="61" t="s">
        <v>137</v>
      </c>
      <c r="G9" s="61" t="s">
        <v>138</v>
      </c>
      <c r="H9" s="61" t="s">
        <v>139</v>
      </c>
    </row>
    <row r="10" spans="1:9" ht="12.75" customHeight="1" x14ac:dyDescent="0.35">
      <c r="C10" s="62">
        <v>1</v>
      </c>
      <c r="D10" s="193"/>
      <c r="E10" s="194"/>
      <c r="F10" s="63">
        <v>65</v>
      </c>
      <c r="G10" s="63" t="s">
        <v>140</v>
      </c>
      <c r="H10" s="63" t="str">
        <f>IF(F10&gt;=61,"APROBADO","REPPROBADO")</f>
        <v>APROBADO</v>
      </c>
    </row>
    <row r="11" spans="1:9" ht="15" customHeight="1" x14ac:dyDescent="0.35">
      <c r="C11" s="62">
        <v>2</v>
      </c>
      <c r="D11" s="193"/>
      <c r="E11" s="194"/>
      <c r="F11" s="63">
        <v>55</v>
      </c>
      <c r="G11" s="63" t="s">
        <v>141</v>
      </c>
      <c r="H11" s="63" t="str">
        <f t="shared" ref="H11:H30" si="0">IF(F11&gt;=61,"APROBADO","REPPROBADO")</f>
        <v>REPPROBADO</v>
      </c>
    </row>
    <row r="12" spans="1:9" ht="12" customHeight="1" x14ac:dyDescent="0.35">
      <c r="C12" s="62">
        <v>3</v>
      </c>
      <c r="D12" s="193"/>
      <c r="E12" s="194"/>
      <c r="F12" s="63"/>
      <c r="G12" s="63"/>
      <c r="H12" s="63" t="str">
        <f t="shared" si="0"/>
        <v>REPPROBADO</v>
      </c>
    </row>
    <row r="13" spans="1:9" ht="12" customHeight="1" x14ac:dyDescent="0.35">
      <c r="C13" s="62">
        <v>4</v>
      </c>
      <c r="D13" s="193"/>
      <c r="E13" s="194"/>
      <c r="F13" s="63"/>
      <c r="G13" s="63"/>
      <c r="H13" s="63" t="str">
        <f t="shared" si="0"/>
        <v>REPPROBADO</v>
      </c>
    </row>
    <row r="14" spans="1:9" ht="13.5" customHeight="1" x14ac:dyDescent="0.35">
      <c r="C14" s="62">
        <v>5</v>
      </c>
      <c r="D14" s="193"/>
      <c r="E14" s="194"/>
      <c r="F14" s="63"/>
      <c r="G14" s="63"/>
      <c r="H14" s="63" t="str">
        <f t="shared" si="0"/>
        <v>REPPROBADO</v>
      </c>
    </row>
    <row r="15" spans="1:9" ht="11.25" customHeight="1" x14ac:dyDescent="0.35">
      <c r="C15" s="62">
        <v>6</v>
      </c>
      <c r="D15" s="193"/>
      <c r="E15" s="194"/>
      <c r="F15" s="63"/>
      <c r="G15" s="63"/>
      <c r="H15" s="63" t="str">
        <f t="shared" si="0"/>
        <v>REPPROBADO</v>
      </c>
    </row>
    <row r="16" spans="1:9" ht="15" customHeight="1" x14ac:dyDescent="0.35">
      <c r="C16" s="62">
        <v>7</v>
      </c>
      <c r="D16" s="193"/>
      <c r="E16" s="194"/>
      <c r="F16" s="63"/>
      <c r="G16" s="63"/>
      <c r="H16" s="63" t="str">
        <f t="shared" si="0"/>
        <v>REPPROBADO</v>
      </c>
    </row>
    <row r="17" spans="3:8" ht="15" customHeight="1" x14ac:dyDescent="0.35">
      <c r="C17" s="62">
        <v>8</v>
      </c>
      <c r="D17" s="193"/>
      <c r="E17" s="194"/>
      <c r="F17" s="63"/>
      <c r="G17" s="63"/>
      <c r="H17" s="63" t="str">
        <f t="shared" si="0"/>
        <v>REPPROBADO</v>
      </c>
    </row>
    <row r="18" spans="3:8" ht="15" customHeight="1" x14ac:dyDescent="0.35">
      <c r="C18" s="62">
        <v>9</v>
      </c>
      <c r="D18" s="193"/>
      <c r="E18" s="194"/>
      <c r="F18" s="63"/>
      <c r="G18" s="63"/>
      <c r="H18" s="63" t="str">
        <f t="shared" si="0"/>
        <v>REPPROBADO</v>
      </c>
    </row>
    <row r="19" spans="3:8" ht="15" customHeight="1" x14ac:dyDescent="0.35">
      <c r="C19" s="62">
        <v>10</v>
      </c>
      <c r="D19" s="193"/>
      <c r="E19" s="194"/>
      <c r="F19" s="63"/>
      <c r="G19" s="63"/>
      <c r="H19" s="63" t="str">
        <f t="shared" si="0"/>
        <v>REPPROBADO</v>
      </c>
    </row>
    <row r="20" spans="3:8" ht="15" customHeight="1" x14ac:dyDescent="0.35">
      <c r="C20" s="62">
        <v>11</v>
      </c>
      <c r="D20" s="193"/>
      <c r="E20" s="194"/>
      <c r="F20" s="63"/>
      <c r="G20" s="63"/>
      <c r="H20" s="63" t="str">
        <f t="shared" si="0"/>
        <v>REPPROBADO</v>
      </c>
    </row>
    <row r="21" spans="3:8" ht="15" customHeight="1" x14ac:dyDescent="0.35">
      <c r="C21" s="62">
        <v>12</v>
      </c>
      <c r="D21" s="191"/>
      <c r="E21" s="192"/>
      <c r="F21" s="63"/>
      <c r="G21" s="63"/>
      <c r="H21" s="63" t="str">
        <f t="shared" si="0"/>
        <v>REPPROBADO</v>
      </c>
    </row>
    <row r="22" spans="3:8" ht="15" customHeight="1" x14ac:dyDescent="0.35">
      <c r="C22" s="62">
        <v>13</v>
      </c>
      <c r="D22" s="193"/>
      <c r="E22" s="194"/>
      <c r="F22" s="63"/>
      <c r="G22" s="63"/>
      <c r="H22" s="63" t="str">
        <f t="shared" si="0"/>
        <v>REPPROBADO</v>
      </c>
    </row>
    <row r="23" spans="3:8" ht="15" customHeight="1" x14ac:dyDescent="0.35">
      <c r="C23" s="62">
        <v>14</v>
      </c>
      <c r="D23" s="193"/>
      <c r="E23" s="194"/>
      <c r="F23" s="63"/>
      <c r="G23" s="63"/>
      <c r="H23" s="63" t="str">
        <f t="shared" si="0"/>
        <v>REPPROBADO</v>
      </c>
    </row>
    <row r="24" spans="3:8" ht="15" customHeight="1" x14ac:dyDescent="0.35">
      <c r="C24" s="62">
        <v>15</v>
      </c>
      <c r="D24" s="193"/>
      <c r="E24" s="194"/>
      <c r="F24" s="63"/>
      <c r="G24" s="63"/>
      <c r="H24" s="63" t="str">
        <f t="shared" si="0"/>
        <v>REPPROBADO</v>
      </c>
    </row>
    <row r="25" spans="3:8" ht="15" customHeight="1" x14ac:dyDescent="0.35">
      <c r="C25" s="62">
        <v>16</v>
      </c>
      <c r="D25" s="193"/>
      <c r="E25" s="194"/>
      <c r="F25" s="63"/>
      <c r="G25" s="63"/>
      <c r="H25" s="63" t="str">
        <f t="shared" si="0"/>
        <v>REPPROBADO</v>
      </c>
    </row>
    <row r="26" spans="3:8" ht="15" customHeight="1" x14ac:dyDescent="0.35">
      <c r="C26" s="62">
        <v>17</v>
      </c>
      <c r="D26" s="193"/>
      <c r="E26" s="194"/>
      <c r="F26" s="63"/>
      <c r="G26" s="63"/>
      <c r="H26" s="63" t="str">
        <f t="shared" si="0"/>
        <v>REPPROBADO</v>
      </c>
    </row>
    <row r="27" spans="3:8" ht="14.25" customHeight="1" x14ac:dyDescent="0.35">
      <c r="C27" s="62">
        <v>18</v>
      </c>
      <c r="D27" s="193"/>
      <c r="E27" s="194"/>
      <c r="F27" s="63"/>
      <c r="G27" s="63"/>
      <c r="H27" s="63" t="str">
        <f t="shared" si="0"/>
        <v>REPPROBADO</v>
      </c>
    </row>
    <row r="28" spans="3:8" ht="14.25" customHeight="1" x14ac:dyDescent="0.35">
      <c r="C28" s="62">
        <v>19</v>
      </c>
      <c r="D28" s="193"/>
      <c r="E28" s="194"/>
      <c r="F28" s="63"/>
      <c r="G28" s="63"/>
      <c r="H28" s="63" t="str">
        <f t="shared" si="0"/>
        <v>REPPROBADO</v>
      </c>
    </row>
    <row r="29" spans="3:8" ht="14.25" customHeight="1" x14ac:dyDescent="0.35">
      <c r="C29" s="62">
        <v>20</v>
      </c>
      <c r="D29" s="193"/>
      <c r="E29" s="194"/>
      <c r="F29" s="63"/>
      <c r="G29" s="63"/>
      <c r="H29" s="63" t="str">
        <f t="shared" si="0"/>
        <v>REPPROBADO</v>
      </c>
    </row>
    <row r="30" spans="3:8" ht="14.25" customHeight="1" x14ac:dyDescent="0.35">
      <c r="C30" s="62">
        <v>21</v>
      </c>
      <c r="D30" s="193"/>
      <c r="E30" s="194"/>
      <c r="F30" s="63"/>
      <c r="G30" s="63"/>
      <c r="H30" s="63" t="str">
        <f t="shared" si="0"/>
        <v>REPPROBADO</v>
      </c>
    </row>
    <row r="31" spans="3:8" ht="14.25" customHeight="1" x14ac:dyDescent="0.35">
      <c r="C31" s="62"/>
      <c r="D31" s="189"/>
      <c r="E31" s="190"/>
      <c r="F31" s="63"/>
      <c r="G31" s="63"/>
      <c r="H31" s="63"/>
    </row>
    <row r="32" spans="3:8" ht="14.25" customHeight="1" x14ac:dyDescent="0.35">
      <c r="C32" s="62"/>
      <c r="D32" s="189"/>
      <c r="E32" s="190"/>
      <c r="F32" s="63"/>
      <c r="G32" s="63"/>
      <c r="H32" s="63"/>
    </row>
    <row r="33" spans="3:8" ht="14.25" customHeight="1" x14ac:dyDescent="0.35">
      <c r="C33" s="62"/>
      <c r="D33" s="185"/>
      <c r="E33" s="186"/>
      <c r="F33" s="63"/>
      <c r="G33" s="63"/>
      <c r="H33" s="63"/>
    </row>
    <row r="34" spans="3:8" ht="14.25" customHeight="1" x14ac:dyDescent="0.35">
      <c r="C34" s="62"/>
      <c r="D34" s="185"/>
      <c r="E34" s="186"/>
      <c r="F34" s="63"/>
      <c r="G34" s="63"/>
      <c r="H34" s="63"/>
    </row>
    <row r="35" spans="3:8" x14ac:dyDescent="0.35">
      <c r="C35" s="62"/>
      <c r="D35" s="187"/>
      <c r="E35" s="187"/>
      <c r="F35" s="63"/>
      <c r="G35" s="63"/>
      <c r="H35" s="63"/>
    </row>
    <row r="36" spans="3:8" x14ac:dyDescent="0.35">
      <c r="C36" s="62"/>
      <c r="D36" s="185"/>
      <c r="E36" s="186"/>
      <c r="F36" s="63"/>
      <c r="G36" s="63"/>
      <c r="H36" s="63"/>
    </row>
    <row r="37" spans="3:8" x14ac:dyDescent="0.35">
      <c r="C37" s="62"/>
      <c r="D37" s="64"/>
      <c r="E37" s="65"/>
      <c r="F37" s="63"/>
      <c r="G37" s="63"/>
      <c r="H37" s="63"/>
    </row>
    <row r="38" spans="3:8" x14ac:dyDescent="0.35">
      <c r="C38" s="62"/>
      <c r="D38" s="185"/>
      <c r="E38" s="186"/>
      <c r="F38" s="63"/>
      <c r="G38" s="63"/>
      <c r="H38" s="63"/>
    </row>
    <row r="39" spans="3:8" x14ac:dyDescent="0.35">
      <c r="C39" s="62"/>
      <c r="D39" s="185"/>
      <c r="E39" s="186"/>
      <c r="F39" s="63"/>
      <c r="G39" s="63"/>
      <c r="H39" s="63"/>
    </row>
    <row r="40" spans="3:8" x14ac:dyDescent="0.35">
      <c r="C40" s="62"/>
      <c r="D40" s="185"/>
      <c r="E40" s="186"/>
      <c r="F40" s="63"/>
      <c r="G40" s="63"/>
      <c r="H40" s="63"/>
    </row>
    <row r="41" spans="3:8" x14ac:dyDescent="0.35">
      <c r="C41" s="62"/>
      <c r="D41" s="185"/>
      <c r="E41" s="186"/>
      <c r="F41" s="63"/>
      <c r="G41" s="63"/>
      <c r="H41" s="63"/>
    </row>
    <row r="42" spans="3:8" x14ac:dyDescent="0.35">
      <c r="C42" s="62"/>
      <c r="D42" s="66"/>
      <c r="E42" s="67"/>
      <c r="F42" s="63"/>
      <c r="G42" s="63"/>
      <c r="H42" s="63"/>
    </row>
    <row r="43" spans="3:8" x14ac:dyDescent="0.35">
      <c r="C43" s="62"/>
      <c r="D43" s="185"/>
      <c r="E43" s="186"/>
      <c r="F43" s="63"/>
      <c r="G43" s="63"/>
      <c r="H43" s="63"/>
    </row>
    <row r="44" spans="3:8" ht="15" customHeight="1" x14ac:dyDescent="0.35">
      <c r="C44" s="62"/>
      <c r="D44" s="187"/>
      <c r="E44" s="187"/>
      <c r="F44" s="63"/>
      <c r="G44" s="63"/>
      <c r="H44" s="63"/>
    </row>
    <row r="47" spans="3:8" ht="17.25" customHeight="1" x14ac:dyDescent="0.35">
      <c r="C47" s="188" t="s">
        <v>83</v>
      </c>
      <c r="D47" s="188"/>
      <c r="E47" s="188"/>
    </row>
    <row r="48" spans="3:8" ht="14.25" customHeight="1" x14ac:dyDescent="0.35">
      <c r="C48" s="182" t="s">
        <v>142</v>
      </c>
      <c r="D48" s="182"/>
      <c r="E48" s="68">
        <v>21</v>
      </c>
    </row>
    <row r="49" spans="1:9" ht="13.5" customHeight="1" x14ac:dyDescent="0.35">
      <c r="C49" s="182" t="s">
        <v>143</v>
      </c>
      <c r="D49" s="182"/>
      <c r="E49" s="68">
        <v>21</v>
      </c>
    </row>
    <row r="50" spans="1:9" ht="15" customHeight="1" x14ac:dyDescent="0.35">
      <c r="C50" s="182" t="s">
        <v>144</v>
      </c>
      <c r="D50" s="182"/>
      <c r="E50" s="68">
        <v>0</v>
      </c>
    </row>
    <row r="51" spans="1:9" x14ac:dyDescent="0.35">
      <c r="C51" s="69"/>
      <c r="D51" s="69"/>
      <c r="E51" s="1"/>
    </row>
    <row r="52" spans="1:9" x14ac:dyDescent="0.35">
      <c r="C52" s="69"/>
      <c r="D52" s="69"/>
      <c r="E52" s="1"/>
    </row>
    <row r="53" spans="1:9" x14ac:dyDescent="0.35">
      <c r="C53" s="69"/>
      <c r="D53" s="69"/>
      <c r="E53" s="1"/>
    </row>
    <row r="54" spans="1:9" x14ac:dyDescent="0.35">
      <c r="C54" s="69"/>
      <c r="D54" s="69"/>
      <c r="E54" s="1"/>
    </row>
    <row r="55" spans="1:9" x14ac:dyDescent="0.35">
      <c r="C55" s="69"/>
      <c r="D55" s="69"/>
      <c r="E55" s="1"/>
    </row>
    <row r="56" spans="1:9" x14ac:dyDescent="0.35">
      <c r="A56" s="70"/>
      <c r="B56" s="70"/>
      <c r="C56" s="183" t="s">
        <v>145</v>
      </c>
      <c r="D56" s="183"/>
      <c r="E56" s="71"/>
      <c r="F56" s="72" t="s">
        <v>145</v>
      </c>
      <c r="G56" s="70"/>
      <c r="H56" s="73" t="s">
        <v>146</v>
      </c>
      <c r="I56" s="70"/>
    </row>
    <row r="57" spans="1:9" x14ac:dyDescent="0.35">
      <c r="A57" s="70"/>
      <c r="B57" s="70"/>
      <c r="C57" s="183" t="s">
        <v>147</v>
      </c>
      <c r="D57" s="183"/>
      <c r="E57" s="71"/>
      <c r="F57" s="72" t="s">
        <v>148</v>
      </c>
      <c r="G57" s="70"/>
      <c r="H57" s="71" t="s">
        <v>149</v>
      </c>
      <c r="I57" s="70"/>
    </row>
    <row r="58" spans="1:9" x14ac:dyDescent="0.35">
      <c r="A58" s="70"/>
      <c r="B58" s="70"/>
      <c r="C58" s="72"/>
      <c r="D58" s="72"/>
      <c r="E58" s="71"/>
      <c r="F58" s="72"/>
      <c r="G58" s="70"/>
      <c r="H58" s="71"/>
      <c r="I58" s="70"/>
    </row>
    <row r="59" spans="1:9" x14ac:dyDescent="0.35">
      <c r="A59" s="70"/>
      <c r="B59" s="70"/>
      <c r="C59" s="72"/>
      <c r="D59" s="72"/>
      <c r="E59" s="71"/>
      <c r="F59" s="72"/>
      <c r="G59" s="70"/>
      <c r="H59" s="71"/>
      <c r="I59" s="70"/>
    </row>
    <row r="60" spans="1:9" x14ac:dyDescent="0.35">
      <c r="A60" s="70"/>
      <c r="B60" s="70"/>
      <c r="C60" s="72"/>
      <c r="D60" s="72"/>
      <c r="E60" s="71"/>
      <c r="F60" s="72"/>
      <c r="G60" s="70"/>
      <c r="H60" s="71"/>
      <c r="I60" s="70"/>
    </row>
    <row r="61" spans="1:9" x14ac:dyDescent="0.35">
      <c r="A61" s="70"/>
      <c r="B61" s="70"/>
      <c r="C61" s="183" t="s">
        <v>90</v>
      </c>
      <c r="D61" s="183"/>
      <c r="E61" s="71"/>
      <c r="F61" s="72" t="s">
        <v>150</v>
      </c>
      <c r="G61" s="70"/>
      <c r="H61" s="73" t="s">
        <v>151</v>
      </c>
      <c r="I61" s="70"/>
    </row>
    <row r="62" spans="1:9" s="74" customFormat="1" ht="15" customHeight="1" x14ac:dyDescent="0.35">
      <c r="A62" s="184" t="s">
        <v>152</v>
      </c>
      <c r="B62" s="184"/>
      <c r="C62" s="184"/>
      <c r="D62" s="184"/>
      <c r="E62" s="184"/>
      <c r="F62" s="184"/>
      <c r="G62" s="184"/>
      <c r="H62" s="184"/>
      <c r="I62" s="184"/>
    </row>
    <row r="63" spans="1:9" x14ac:dyDescent="0.35">
      <c r="C63" s="181"/>
      <c r="D63" s="181"/>
      <c r="E63" s="75"/>
      <c r="F63" s="69"/>
      <c r="H63" s="75"/>
    </row>
    <row r="64" spans="1:9" x14ac:dyDescent="0.35">
      <c r="C64" s="181"/>
      <c r="D64" s="181"/>
      <c r="E64" s="75"/>
      <c r="F64" s="69"/>
      <c r="H64" s="75"/>
    </row>
    <row r="65" spans="3:8" x14ac:dyDescent="0.35">
      <c r="C65" s="181"/>
      <c r="D65" s="181"/>
      <c r="E65" s="75"/>
      <c r="F65" s="69"/>
      <c r="H65" s="75"/>
    </row>
  </sheetData>
  <mergeCells count="51">
    <mergeCell ref="C3:H3"/>
    <mergeCell ref="A4:I4"/>
    <mergeCell ref="C5:F5"/>
    <mergeCell ref="G5:H5"/>
    <mergeCell ref="C7:E7"/>
    <mergeCell ref="F7:G7"/>
    <mergeCell ref="D20:E20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C48:D48"/>
    <mergeCell ref="D33:E33"/>
    <mergeCell ref="D34:E34"/>
    <mergeCell ref="D35:E35"/>
    <mergeCell ref="D36:E36"/>
    <mergeCell ref="D38:E38"/>
    <mergeCell ref="D39:E39"/>
    <mergeCell ref="D40:E40"/>
    <mergeCell ref="D41:E41"/>
    <mergeCell ref="D43:E43"/>
    <mergeCell ref="D44:E44"/>
    <mergeCell ref="C47:E47"/>
    <mergeCell ref="C63:D63"/>
    <mergeCell ref="C64:D64"/>
    <mergeCell ref="C65:D65"/>
    <mergeCell ref="C49:D49"/>
    <mergeCell ref="C50:D50"/>
    <mergeCell ref="C56:D56"/>
    <mergeCell ref="C57:D57"/>
    <mergeCell ref="C61:D61"/>
    <mergeCell ref="A62:I62"/>
  </mergeCells>
  <pageMargins left="0.70866141732283472" right="0.70866141732283472" top="0.35433070866141736" bottom="0.35433070866141736" header="0.31496062992125984" footer="0.31496062992125984"/>
  <pageSetup scale="7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'[1]LISTA 2'!#REF!</xm:f>
          </x14:formula1>
          <xm:sqref>A4:I4</xm:sqref>
        </x14:dataValidation>
        <x14:dataValidation type="list" allowBlank="1" showInputMessage="1" showErrorMessage="1">
          <x14:formula1>
            <xm:f>[3]Lista!#REF!</xm:f>
          </x14:formula1>
          <xm:sqref>G5:H5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I65"/>
  <sheetViews>
    <sheetView showGridLines="0" showRowColHeaders="0" zoomScaleNormal="100" zoomScaleSheetLayoutView="100" workbookViewId="0">
      <selection activeCell="D22" sqref="D22:E23"/>
    </sheetView>
  </sheetViews>
  <sheetFormatPr baseColWidth="10" defaultRowHeight="14.5" x14ac:dyDescent="0.35"/>
  <cols>
    <col min="1" max="1" width="8.26953125" customWidth="1"/>
    <col min="2" max="2" width="7.7265625" customWidth="1"/>
    <col min="3" max="3" width="5.26953125" customWidth="1"/>
    <col min="4" max="4" width="7.7265625" customWidth="1"/>
    <col min="5" max="5" width="12.54296875" customWidth="1"/>
    <col min="6" max="6" width="19.36328125" customWidth="1"/>
    <col min="7" max="7" width="17.81640625" customWidth="1"/>
    <col min="8" max="8" width="20.26953125" customWidth="1"/>
  </cols>
  <sheetData>
    <row r="3" spans="1:9" ht="18" customHeight="1" x14ac:dyDescent="0.45">
      <c r="C3" s="196" t="s">
        <v>132</v>
      </c>
      <c r="D3" s="196"/>
      <c r="E3" s="196"/>
      <c r="F3" s="196"/>
      <c r="G3" s="196"/>
      <c r="H3" s="196"/>
    </row>
    <row r="4" spans="1:9" x14ac:dyDescent="0.35">
      <c r="A4" s="197" t="s">
        <v>26</v>
      </c>
      <c r="B4" s="197"/>
      <c r="C4" s="197"/>
      <c r="D4" s="197"/>
      <c r="E4" s="197"/>
      <c r="F4" s="197"/>
      <c r="G4" s="197"/>
      <c r="H4" s="197"/>
      <c r="I4" s="197"/>
    </row>
    <row r="5" spans="1:9" ht="18.5" x14ac:dyDescent="0.45">
      <c r="C5" s="198" t="s">
        <v>133</v>
      </c>
      <c r="D5" s="198"/>
      <c r="E5" s="198"/>
      <c r="F5" s="198"/>
      <c r="G5" s="199">
        <v>2020</v>
      </c>
      <c r="H5" s="199"/>
    </row>
    <row r="7" spans="1:9" x14ac:dyDescent="0.35">
      <c r="C7" s="200" t="s">
        <v>0</v>
      </c>
      <c r="D7" s="200"/>
      <c r="E7" s="200"/>
      <c r="F7" s="201" t="s">
        <v>134</v>
      </c>
      <c r="G7" s="201"/>
    </row>
    <row r="8" spans="1:9" ht="13.5" customHeight="1" x14ac:dyDescent="0.35"/>
    <row r="9" spans="1:9" x14ac:dyDescent="0.35">
      <c r="C9" s="61" t="s">
        <v>135</v>
      </c>
      <c r="D9" s="195" t="s">
        <v>136</v>
      </c>
      <c r="E9" s="195"/>
      <c r="F9" s="61" t="s">
        <v>137</v>
      </c>
      <c r="G9" s="61" t="s">
        <v>138</v>
      </c>
      <c r="H9" s="61" t="s">
        <v>139</v>
      </c>
    </row>
    <row r="10" spans="1:9" ht="12.75" customHeight="1" x14ac:dyDescent="0.35">
      <c r="C10" s="62">
        <v>1</v>
      </c>
      <c r="D10" s="202" t="str">
        <f>+'COA-301 T'!D13:E13</f>
        <v>Choque Choque Eneida</v>
      </c>
      <c r="E10" s="202"/>
      <c r="F10" s="63">
        <v>65</v>
      </c>
      <c r="G10" s="63" t="s">
        <v>140</v>
      </c>
      <c r="H10" s="63" t="str">
        <f>IF(F10&gt;=61,"APROBADO","REPPROBADO")</f>
        <v>APROBADO</v>
      </c>
    </row>
    <row r="11" spans="1:9" ht="15" customHeight="1" x14ac:dyDescent="0.35">
      <c r="C11" s="62">
        <v>2</v>
      </c>
      <c r="D11" s="202" t="str">
        <f>+'COA-301 T'!D14:E14</f>
        <v>Condori Felipez Nahely</v>
      </c>
      <c r="E11" s="202"/>
      <c r="F11" s="63">
        <v>55</v>
      </c>
      <c r="G11" s="63" t="s">
        <v>141</v>
      </c>
      <c r="H11" s="63" t="str">
        <f t="shared" ref="H11:H23" si="0">IF(F11&gt;=61,"APROBADO","REPPROBADO")</f>
        <v>REPPROBADO</v>
      </c>
    </row>
    <row r="12" spans="1:9" ht="12" customHeight="1" x14ac:dyDescent="0.35">
      <c r="C12" s="62">
        <v>3</v>
      </c>
      <c r="D12" s="202" t="str">
        <f>+'COA-301 T'!D15:E15</f>
        <v>Cusi Cruz Ramiro</v>
      </c>
      <c r="E12" s="202"/>
      <c r="F12" s="63"/>
      <c r="G12" s="63"/>
      <c r="H12" s="63" t="str">
        <f t="shared" si="0"/>
        <v>REPPROBADO</v>
      </c>
    </row>
    <row r="13" spans="1:9" ht="12" customHeight="1" x14ac:dyDescent="0.35">
      <c r="C13" s="62">
        <v>4</v>
      </c>
      <c r="D13" s="202" t="str">
        <f>+'COA-301 T'!D16:E16</f>
        <v>Diaz Soruco Milenka Ingrid</v>
      </c>
      <c r="E13" s="202"/>
      <c r="F13" s="63"/>
      <c r="G13" s="63"/>
      <c r="H13" s="63" t="str">
        <f t="shared" si="0"/>
        <v>REPPROBADO</v>
      </c>
    </row>
    <row r="14" spans="1:9" ht="13.5" customHeight="1" x14ac:dyDescent="0.35">
      <c r="C14" s="62">
        <v>5</v>
      </c>
      <c r="D14" s="202" t="str">
        <f>+'COA-301 T'!D17:E17</f>
        <v>Fernandez Choque Karen Carolina</v>
      </c>
      <c r="E14" s="202"/>
      <c r="F14" s="63"/>
      <c r="G14" s="63"/>
      <c r="H14" s="63" t="str">
        <f t="shared" si="0"/>
        <v>REPPROBADO</v>
      </c>
    </row>
    <row r="15" spans="1:9" ht="11.25" customHeight="1" x14ac:dyDescent="0.35">
      <c r="C15" s="62">
        <v>6</v>
      </c>
      <c r="D15" s="202" t="str">
        <f>+'COA-301 T'!D18:E18</f>
        <v>Flores Condarco Eberth Luis</v>
      </c>
      <c r="E15" s="202"/>
      <c r="F15" s="63"/>
      <c r="G15" s="63"/>
      <c r="H15" s="63" t="str">
        <f t="shared" si="0"/>
        <v>REPPROBADO</v>
      </c>
    </row>
    <row r="16" spans="1:9" ht="15" customHeight="1" x14ac:dyDescent="0.35">
      <c r="C16" s="62">
        <v>7</v>
      </c>
      <c r="D16" s="202" t="str">
        <f>+'COA-301 T'!D19:E19</f>
        <v>Guarachi Bolivar Ariel Leonel</v>
      </c>
      <c r="E16" s="202"/>
      <c r="F16" s="63"/>
      <c r="G16" s="63"/>
      <c r="H16" s="63" t="str">
        <f t="shared" si="0"/>
        <v>REPPROBADO</v>
      </c>
    </row>
    <row r="17" spans="3:8" ht="15" customHeight="1" x14ac:dyDescent="0.35">
      <c r="C17" s="62">
        <v>8</v>
      </c>
      <c r="D17" s="206" t="str">
        <f>+'COA-301 T'!D20:E20</f>
        <v>Guarachi Bolivar Omar Rodrigo</v>
      </c>
      <c r="E17" s="206"/>
      <c r="F17" s="63"/>
      <c r="G17" s="63"/>
      <c r="H17" s="63" t="str">
        <f t="shared" si="0"/>
        <v>REPPROBADO</v>
      </c>
    </row>
    <row r="18" spans="3:8" ht="15" customHeight="1" x14ac:dyDescent="0.35">
      <c r="C18" s="62">
        <v>9</v>
      </c>
      <c r="D18" s="202" t="str">
        <f>+'COA-301 T'!D21:E21</f>
        <v>Lazarte Escobar Cristian Fernando</v>
      </c>
      <c r="E18" s="202"/>
      <c r="F18" s="63"/>
      <c r="G18" s="63"/>
      <c r="H18" s="63" t="str">
        <f t="shared" si="0"/>
        <v>REPPROBADO</v>
      </c>
    </row>
    <row r="19" spans="3:8" ht="15" customHeight="1" x14ac:dyDescent="0.35">
      <c r="C19" s="62">
        <v>10</v>
      </c>
      <c r="D19" s="202" t="str">
        <f>+'COA-301 T'!D22:E22</f>
        <v>Manzano Huanca David Hernan</v>
      </c>
      <c r="E19" s="202"/>
      <c r="F19" s="63"/>
      <c r="G19" s="63"/>
      <c r="H19" s="63" t="str">
        <f t="shared" si="0"/>
        <v>REPPROBADO</v>
      </c>
    </row>
    <row r="20" spans="3:8" ht="15" customHeight="1" x14ac:dyDescent="0.35">
      <c r="C20" s="62">
        <v>11</v>
      </c>
      <c r="D20" s="202" t="str">
        <f>+'COA-301 T'!D23:E23</f>
        <v>Salinas Lopez Elvis Alex</v>
      </c>
      <c r="E20" s="202"/>
      <c r="F20" s="63"/>
      <c r="G20" s="63"/>
      <c r="H20" s="63" t="str">
        <f t="shared" si="0"/>
        <v>REPPROBADO</v>
      </c>
    </row>
    <row r="21" spans="3:8" ht="15" customHeight="1" x14ac:dyDescent="0.35">
      <c r="C21" s="62">
        <v>12</v>
      </c>
      <c r="D21" s="202" t="str">
        <f>+'COA-301 T'!D24:E24</f>
        <v>Tellez Ledo Axel Jairo</v>
      </c>
      <c r="E21" s="202"/>
      <c r="F21" s="63"/>
      <c r="G21" s="63"/>
      <c r="H21" s="63" t="str">
        <f t="shared" si="0"/>
        <v>REPPROBADO</v>
      </c>
    </row>
    <row r="22" spans="3:8" ht="15" customHeight="1" x14ac:dyDescent="0.35">
      <c r="C22" s="62">
        <v>13</v>
      </c>
      <c r="D22" s="203"/>
      <c r="E22" s="203"/>
      <c r="F22" s="63"/>
      <c r="G22" s="63"/>
      <c r="H22" s="63" t="str">
        <f t="shared" si="0"/>
        <v>REPPROBADO</v>
      </c>
    </row>
    <row r="23" spans="3:8" ht="15" customHeight="1" x14ac:dyDescent="0.35">
      <c r="C23" s="62">
        <v>14</v>
      </c>
      <c r="D23" s="204"/>
      <c r="E23" s="204"/>
      <c r="F23" s="63"/>
      <c r="G23" s="63"/>
      <c r="H23" s="63" t="str">
        <f t="shared" si="0"/>
        <v>REPPROBADO</v>
      </c>
    </row>
    <row r="24" spans="3:8" ht="15" customHeight="1" x14ac:dyDescent="0.35">
      <c r="C24" s="62">
        <v>15</v>
      </c>
      <c r="D24" s="205"/>
      <c r="E24" s="205"/>
      <c r="F24" s="63"/>
      <c r="G24" s="63"/>
      <c r="H24" s="63"/>
    </row>
    <row r="25" spans="3:8" ht="15" customHeight="1" x14ac:dyDescent="0.35">
      <c r="C25" s="62">
        <v>16</v>
      </c>
      <c r="D25" s="205"/>
      <c r="E25" s="205"/>
      <c r="F25" s="63"/>
      <c r="G25" s="63"/>
      <c r="H25" s="63"/>
    </row>
    <row r="26" spans="3:8" ht="15" customHeight="1" x14ac:dyDescent="0.35">
      <c r="C26" s="62">
        <v>17</v>
      </c>
      <c r="D26" s="187"/>
      <c r="E26" s="187"/>
      <c r="F26" s="63"/>
      <c r="G26" s="63"/>
      <c r="H26" s="63"/>
    </row>
    <row r="27" spans="3:8" ht="14.25" customHeight="1" x14ac:dyDescent="0.35">
      <c r="C27" s="62">
        <v>18</v>
      </c>
      <c r="D27" s="187"/>
      <c r="E27" s="187"/>
      <c r="F27" s="63"/>
      <c r="G27" s="63"/>
      <c r="H27" s="63"/>
    </row>
    <row r="28" spans="3:8" ht="14.25" customHeight="1" x14ac:dyDescent="0.35">
      <c r="C28" s="62">
        <v>19</v>
      </c>
      <c r="D28" s="185"/>
      <c r="E28" s="186"/>
      <c r="F28" s="63"/>
      <c r="G28" s="63"/>
      <c r="H28" s="63"/>
    </row>
    <row r="29" spans="3:8" ht="14.25" customHeight="1" x14ac:dyDescent="0.35">
      <c r="C29" s="62">
        <v>20</v>
      </c>
      <c r="D29" s="185"/>
      <c r="E29" s="186"/>
      <c r="F29" s="63"/>
      <c r="G29" s="63"/>
      <c r="H29" s="63"/>
    </row>
    <row r="30" spans="3:8" ht="14.25" customHeight="1" x14ac:dyDescent="0.35">
      <c r="C30" s="62">
        <v>21</v>
      </c>
      <c r="D30" s="185"/>
      <c r="E30" s="186"/>
      <c r="F30" s="63"/>
      <c r="G30" s="63"/>
      <c r="H30" s="63"/>
    </row>
    <row r="31" spans="3:8" ht="14.25" customHeight="1" x14ac:dyDescent="0.35">
      <c r="C31" s="62">
        <v>22</v>
      </c>
      <c r="D31" s="185"/>
      <c r="E31" s="186"/>
      <c r="F31" s="63"/>
      <c r="G31" s="63"/>
      <c r="H31" s="63"/>
    </row>
    <row r="32" spans="3:8" ht="14.25" customHeight="1" x14ac:dyDescent="0.35">
      <c r="C32" s="62">
        <v>23</v>
      </c>
      <c r="D32" s="185"/>
      <c r="E32" s="186"/>
      <c r="F32" s="63"/>
      <c r="G32" s="63"/>
      <c r="H32" s="63"/>
    </row>
    <row r="33" spans="3:8" ht="14.25" customHeight="1" x14ac:dyDescent="0.35">
      <c r="C33" s="62">
        <v>24</v>
      </c>
      <c r="D33" s="185"/>
      <c r="E33" s="186"/>
      <c r="F33" s="63"/>
      <c r="G33" s="63"/>
      <c r="H33" s="63"/>
    </row>
    <row r="34" spans="3:8" ht="14.25" customHeight="1" x14ac:dyDescent="0.35">
      <c r="C34" s="62">
        <v>25</v>
      </c>
      <c r="D34" s="185"/>
      <c r="E34" s="186"/>
      <c r="F34" s="63"/>
      <c r="G34" s="63"/>
      <c r="H34" s="63"/>
    </row>
    <row r="35" spans="3:8" x14ac:dyDescent="0.35">
      <c r="C35" s="62">
        <v>26</v>
      </c>
      <c r="D35" s="187"/>
      <c r="E35" s="187"/>
      <c r="F35" s="63"/>
      <c r="G35" s="63"/>
      <c r="H35" s="63"/>
    </row>
    <row r="36" spans="3:8" x14ac:dyDescent="0.35">
      <c r="C36" s="62">
        <v>27</v>
      </c>
      <c r="D36" s="185"/>
      <c r="E36" s="186"/>
      <c r="F36" s="63"/>
      <c r="G36" s="63"/>
      <c r="H36" s="63"/>
    </row>
    <row r="37" spans="3:8" x14ac:dyDescent="0.35">
      <c r="C37" s="62">
        <v>28</v>
      </c>
      <c r="D37" s="64"/>
      <c r="E37" s="65"/>
      <c r="F37" s="63"/>
      <c r="G37" s="63"/>
      <c r="H37" s="63"/>
    </row>
    <row r="38" spans="3:8" x14ac:dyDescent="0.35">
      <c r="C38" s="62">
        <v>29</v>
      </c>
      <c r="D38" s="185"/>
      <c r="E38" s="186"/>
      <c r="F38" s="63"/>
      <c r="G38" s="63"/>
      <c r="H38" s="63"/>
    </row>
    <row r="39" spans="3:8" x14ac:dyDescent="0.35">
      <c r="C39" s="62">
        <v>30</v>
      </c>
      <c r="D39" s="185"/>
      <c r="E39" s="186"/>
      <c r="F39" s="63"/>
      <c r="G39" s="63"/>
      <c r="H39" s="63"/>
    </row>
    <row r="40" spans="3:8" x14ac:dyDescent="0.35">
      <c r="C40" s="62">
        <v>31</v>
      </c>
      <c r="D40" s="185"/>
      <c r="E40" s="186"/>
      <c r="F40" s="63"/>
      <c r="G40" s="63"/>
      <c r="H40" s="63"/>
    </row>
    <row r="41" spans="3:8" x14ac:dyDescent="0.35">
      <c r="C41" s="62">
        <v>32</v>
      </c>
      <c r="D41" s="185"/>
      <c r="E41" s="186"/>
      <c r="F41" s="63"/>
      <c r="G41" s="63"/>
      <c r="H41" s="63"/>
    </row>
    <row r="42" spans="3:8" x14ac:dyDescent="0.35">
      <c r="C42" s="62">
        <v>33</v>
      </c>
      <c r="D42" s="66"/>
      <c r="E42" s="67"/>
      <c r="F42" s="63"/>
      <c r="G42" s="63"/>
      <c r="H42" s="63"/>
    </row>
    <row r="43" spans="3:8" x14ac:dyDescent="0.35">
      <c r="C43" s="62">
        <v>34</v>
      </c>
      <c r="D43" s="185"/>
      <c r="E43" s="186"/>
      <c r="F43" s="63"/>
      <c r="G43" s="63"/>
      <c r="H43" s="63"/>
    </row>
    <row r="44" spans="3:8" ht="15" customHeight="1" x14ac:dyDescent="0.35">
      <c r="C44" s="62">
        <v>35</v>
      </c>
      <c r="D44" s="187"/>
      <c r="E44" s="187"/>
      <c r="F44" s="63"/>
      <c r="G44" s="63"/>
      <c r="H44" s="63"/>
    </row>
    <row r="47" spans="3:8" ht="17.25" customHeight="1" x14ac:dyDescent="0.35">
      <c r="C47" s="188" t="s">
        <v>83</v>
      </c>
      <c r="D47" s="188"/>
      <c r="E47" s="188"/>
    </row>
    <row r="48" spans="3:8" ht="14.25" customHeight="1" x14ac:dyDescent="0.35">
      <c r="C48" s="182" t="s">
        <v>142</v>
      </c>
      <c r="D48" s="182"/>
      <c r="E48" s="68"/>
    </row>
    <row r="49" spans="1:9" ht="13.5" customHeight="1" x14ac:dyDescent="0.35">
      <c r="C49" s="182" t="s">
        <v>143</v>
      </c>
      <c r="D49" s="182"/>
      <c r="E49" s="68"/>
    </row>
    <row r="50" spans="1:9" ht="15" customHeight="1" x14ac:dyDescent="0.35">
      <c r="C50" s="182" t="s">
        <v>144</v>
      </c>
      <c r="D50" s="182"/>
      <c r="E50" s="68"/>
    </row>
    <row r="51" spans="1:9" x14ac:dyDescent="0.35">
      <c r="C51" s="69"/>
      <c r="D51" s="69"/>
      <c r="E51" s="1"/>
    </row>
    <row r="52" spans="1:9" x14ac:dyDescent="0.35">
      <c r="C52" s="69"/>
      <c r="D52" s="69"/>
      <c r="E52" s="1"/>
    </row>
    <row r="53" spans="1:9" x14ac:dyDescent="0.35">
      <c r="C53" s="69"/>
      <c r="D53" s="69"/>
      <c r="E53" s="1"/>
    </row>
    <row r="54" spans="1:9" x14ac:dyDescent="0.35">
      <c r="C54" s="69"/>
      <c r="D54" s="69"/>
      <c r="E54" s="1"/>
    </row>
    <row r="55" spans="1:9" x14ac:dyDescent="0.35">
      <c r="C55" s="69"/>
      <c r="D55" s="69"/>
      <c r="E55" s="1"/>
    </row>
    <row r="56" spans="1:9" x14ac:dyDescent="0.35">
      <c r="A56" s="70"/>
      <c r="B56" s="70"/>
      <c r="C56" s="183" t="s">
        <v>145</v>
      </c>
      <c r="D56" s="183"/>
      <c r="E56" s="71"/>
      <c r="F56" s="72" t="s">
        <v>145</v>
      </c>
      <c r="G56" s="70"/>
      <c r="H56" s="73" t="s">
        <v>146</v>
      </c>
      <c r="I56" s="70"/>
    </row>
    <row r="57" spans="1:9" x14ac:dyDescent="0.35">
      <c r="A57" s="70"/>
      <c r="B57" s="70"/>
      <c r="C57" s="183" t="s">
        <v>147</v>
      </c>
      <c r="D57" s="183"/>
      <c r="E57" s="71"/>
      <c r="F57" s="72" t="s">
        <v>148</v>
      </c>
      <c r="G57" s="70"/>
      <c r="H57" s="71" t="s">
        <v>149</v>
      </c>
      <c r="I57" s="70"/>
    </row>
    <row r="58" spans="1:9" x14ac:dyDescent="0.35">
      <c r="A58" s="70"/>
      <c r="B58" s="70"/>
      <c r="C58" s="72"/>
      <c r="D58" s="72"/>
      <c r="E58" s="71"/>
      <c r="F58" s="72"/>
      <c r="G58" s="70"/>
      <c r="H58" s="71"/>
      <c r="I58" s="70"/>
    </row>
    <row r="59" spans="1:9" x14ac:dyDescent="0.35">
      <c r="A59" s="70"/>
      <c r="B59" s="70"/>
      <c r="C59" s="72"/>
      <c r="D59" s="72"/>
      <c r="E59" s="71"/>
      <c r="F59" s="72"/>
      <c r="G59" s="70"/>
      <c r="H59" s="71"/>
      <c r="I59" s="70"/>
    </row>
    <row r="60" spans="1:9" x14ac:dyDescent="0.35">
      <c r="A60" s="70"/>
      <c r="B60" s="70"/>
      <c r="C60" s="72"/>
      <c r="D60" s="72"/>
      <c r="E60" s="71"/>
      <c r="F60" s="72"/>
      <c r="G60" s="70"/>
      <c r="H60" s="71"/>
      <c r="I60" s="70"/>
    </row>
    <row r="61" spans="1:9" x14ac:dyDescent="0.35">
      <c r="A61" s="70"/>
      <c r="B61" s="70"/>
      <c r="C61" s="183" t="s">
        <v>90</v>
      </c>
      <c r="D61" s="183"/>
      <c r="E61" s="71"/>
      <c r="F61" s="72" t="s">
        <v>150</v>
      </c>
      <c r="G61" s="70"/>
      <c r="H61" s="73" t="s">
        <v>151</v>
      </c>
      <c r="I61" s="70"/>
    </row>
    <row r="62" spans="1:9" s="74" customFormat="1" ht="15" customHeight="1" x14ac:dyDescent="0.35">
      <c r="A62" s="184" t="s">
        <v>152</v>
      </c>
      <c r="B62" s="184"/>
      <c r="C62" s="184"/>
      <c r="D62" s="184"/>
      <c r="E62" s="184"/>
      <c r="F62" s="184"/>
      <c r="G62" s="184"/>
      <c r="H62" s="184"/>
      <c r="I62" s="184"/>
    </row>
    <row r="63" spans="1:9" x14ac:dyDescent="0.35">
      <c r="C63" s="181"/>
      <c r="D63" s="181"/>
      <c r="E63" s="75"/>
      <c r="F63" s="69"/>
      <c r="H63" s="75"/>
    </row>
    <row r="64" spans="1:9" x14ac:dyDescent="0.35">
      <c r="C64" s="181"/>
      <c r="D64" s="181"/>
      <c r="E64" s="75"/>
      <c r="F64" s="69"/>
      <c r="H64" s="75"/>
    </row>
    <row r="65" spans="3:8" x14ac:dyDescent="0.35">
      <c r="C65" s="181"/>
      <c r="D65" s="181"/>
      <c r="E65" s="75"/>
      <c r="F65" s="69"/>
      <c r="H65" s="75"/>
    </row>
  </sheetData>
  <mergeCells count="51">
    <mergeCell ref="C3:H3"/>
    <mergeCell ref="A4:I4"/>
    <mergeCell ref="C5:F5"/>
    <mergeCell ref="G5:H5"/>
    <mergeCell ref="C7:E7"/>
    <mergeCell ref="F7:G7"/>
    <mergeCell ref="D20:E20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C48:D48"/>
    <mergeCell ref="D33:E33"/>
    <mergeCell ref="D34:E34"/>
    <mergeCell ref="D35:E35"/>
    <mergeCell ref="D36:E36"/>
    <mergeCell ref="D38:E38"/>
    <mergeCell ref="D39:E39"/>
    <mergeCell ref="D40:E40"/>
    <mergeCell ref="D41:E41"/>
    <mergeCell ref="D43:E43"/>
    <mergeCell ref="D44:E44"/>
    <mergeCell ref="C47:E47"/>
    <mergeCell ref="C63:D63"/>
    <mergeCell ref="C64:D64"/>
    <mergeCell ref="C65:D65"/>
    <mergeCell ref="C49:D49"/>
    <mergeCell ref="C50:D50"/>
    <mergeCell ref="C56:D56"/>
    <mergeCell ref="C57:D57"/>
    <mergeCell ref="C61:D61"/>
    <mergeCell ref="A62:I62"/>
  </mergeCells>
  <pageMargins left="0.70866141732283472" right="0.70866141732283472" top="0.35433070866141736" bottom="0.35433070866141736" header="0.31496062992125984" footer="0.31496062992125984"/>
  <pageSetup scale="7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[1]Lista!#REF!</xm:f>
          </x14:formula1>
          <xm:sqref>G5:H5</xm:sqref>
        </x14:dataValidation>
        <x14:dataValidation type="list" allowBlank="1" showInputMessage="1" showErrorMessage="1">
          <x14:formula1>
            <xm:f>'[1]LISTA 2'!#REF!</xm:f>
          </x14:formula1>
          <xm:sqref>A4:I4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I65"/>
  <sheetViews>
    <sheetView showGridLines="0" showRowColHeaders="0" zoomScaleNormal="100" zoomScaleSheetLayoutView="100" workbookViewId="0">
      <selection activeCell="J18" sqref="J18"/>
    </sheetView>
  </sheetViews>
  <sheetFormatPr baseColWidth="10" defaultRowHeight="14.5" x14ac:dyDescent="0.35"/>
  <cols>
    <col min="1" max="1" width="8.26953125" customWidth="1"/>
    <col min="2" max="2" width="7.7265625" customWidth="1"/>
    <col min="3" max="3" width="5.26953125" customWidth="1"/>
    <col min="4" max="4" width="7.7265625" customWidth="1"/>
    <col min="5" max="5" width="12.54296875" customWidth="1"/>
    <col min="6" max="6" width="19.36328125" customWidth="1"/>
    <col min="7" max="7" width="17.81640625" customWidth="1"/>
    <col min="8" max="8" width="20.26953125" customWidth="1"/>
  </cols>
  <sheetData>
    <row r="3" spans="1:9" ht="18" customHeight="1" x14ac:dyDescent="0.45">
      <c r="C3" s="196" t="s">
        <v>132</v>
      </c>
      <c r="D3" s="196"/>
      <c r="E3" s="196"/>
      <c r="F3" s="196"/>
      <c r="G3" s="196"/>
      <c r="H3" s="196"/>
    </row>
    <row r="4" spans="1:9" x14ac:dyDescent="0.35">
      <c r="A4" s="197" t="s">
        <v>26</v>
      </c>
      <c r="B4" s="197"/>
      <c r="C4" s="197"/>
      <c r="D4" s="197"/>
      <c r="E4" s="197"/>
      <c r="F4" s="197"/>
      <c r="G4" s="197"/>
      <c r="H4" s="197"/>
      <c r="I4" s="197"/>
    </row>
    <row r="5" spans="1:9" ht="18.5" x14ac:dyDescent="0.45">
      <c r="C5" s="198" t="s">
        <v>133</v>
      </c>
      <c r="D5" s="198"/>
      <c r="E5" s="198"/>
      <c r="F5" s="198"/>
      <c r="G5" s="199">
        <v>2020</v>
      </c>
      <c r="H5" s="199"/>
    </row>
    <row r="7" spans="1:9" x14ac:dyDescent="0.35">
      <c r="C7" s="200" t="s">
        <v>0</v>
      </c>
      <c r="D7" s="200"/>
      <c r="E7" s="200"/>
      <c r="F7" s="201" t="s">
        <v>134</v>
      </c>
      <c r="G7" s="201"/>
    </row>
    <row r="8" spans="1:9" ht="13.5" customHeight="1" x14ac:dyDescent="0.35"/>
    <row r="9" spans="1:9" x14ac:dyDescent="0.35">
      <c r="C9" s="61" t="s">
        <v>135</v>
      </c>
      <c r="D9" s="195" t="s">
        <v>136</v>
      </c>
      <c r="E9" s="195"/>
      <c r="F9" s="61" t="s">
        <v>137</v>
      </c>
      <c r="G9" s="61" t="s">
        <v>138</v>
      </c>
      <c r="H9" s="61" t="s">
        <v>139</v>
      </c>
    </row>
    <row r="10" spans="1:9" ht="12.75" customHeight="1" x14ac:dyDescent="0.35">
      <c r="C10" s="62">
        <v>1</v>
      </c>
      <c r="D10" s="202" t="str">
        <f>+'COA-301 N'!D13:E13</f>
        <v>Atocha Mamani Ruben</v>
      </c>
      <c r="E10" s="202"/>
      <c r="F10" s="63">
        <v>65</v>
      </c>
      <c r="G10" s="63" t="s">
        <v>140</v>
      </c>
      <c r="H10" s="63" t="str">
        <f>IF(F10&gt;=61,"APROBADO","REPPROBADO")</f>
        <v>APROBADO</v>
      </c>
    </row>
    <row r="11" spans="1:9" ht="15" customHeight="1" x14ac:dyDescent="0.35">
      <c r="C11" s="62">
        <v>2</v>
      </c>
      <c r="D11" s="202" t="str">
        <f>+'COA-301 N'!D14:E14</f>
        <v>Bautista Yucra Judith</v>
      </c>
      <c r="E11" s="202"/>
      <c r="F11" s="63">
        <v>55</v>
      </c>
      <c r="G11" s="63" t="s">
        <v>141</v>
      </c>
      <c r="H11" s="63" t="str">
        <f t="shared" ref="H11:H17" si="0">IF(F11&gt;=61,"APROBADO","REPPROBADO")</f>
        <v>REPPROBADO</v>
      </c>
    </row>
    <row r="12" spans="1:9" ht="12" customHeight="1" x14ac:dyDescent="0.35">
      <c r="C12" s="62">
        <v>3</v>
      </c>
      <c r="D12" s="202" t="str">
        <f>+'COA-301 N'!D15:E15</f>
        <v>Bejarano Loras Douglas</v>
      </c>
      <c r="E12" s="202"/>
      <c r="F12" s="63"/>
      <c r="G12" s="63"/>
      <c r="H12" s="63" t="str">
        <f t="shared" si="0"/>
        <v>REPPROBADO</v>
      </c>
    </row>
    <row r="13" spans="1:9" ht="12" customHeight="1" x14ac:dyDescent="0.35">
      <c r="C13" s="62">
        <v>4</v>
      </c>
      <c r="D13" s="202" t="str">
        <f>+'COA-301 N'!D16:E16</f>
        <v>Choque Paillo Jaime</v>
      </c>
      <c r="E13" s="202"/>
      <c r="F13" s="63"/>
      <c r="G13" s="63"/>
      <c r="H13" s="63" t="str">
        <f t="shared" si="0"/>
        <v>REPPROBADO</v>
      </c>
    </row>
    <row r="14" spans="1:9" ht="13.5" customHeight="1" x14ac:dyDescent="0.35">
      <c r="C14" s="62">
        <v>5</v>
      </c>
      <c r="D14" s="202" t="str">
        <f>+'COA-301 N'!D17:E17</f>
        <v>Coaquira Coaquira Monica</v>
      </c>
      <c r="E14" s="202"/>
      <c r="F14" s="63"/>
      <c r="G14" s="63"/>
      <c r="H14" s="63" t="str">
        <f t="shared" si="0"/>
        <v>REPPROBADO</v>
      </c>
    </row>
    <row r="15" spans="1:9" ht="11.25" customHeight="1" x14ac:dyDescent="0.35">
      <c r="C15" s="62">
        <v>6</v>
      </c>
      <c r="D15" s="202" t="str">
        <f>+'COA-301 N'!D18:E18</f>
        <v>Colque Ayala Carla Lorena</v>
      </c>
      <c r="E15" s="202"/>
      <c r="F15" s="63"/>
      <c r="G15" s="63"/>
      <c r="H15" s="63" t="str">
        <f t="shared" si="0"/>
        <v>REPPROBADO</v>
      </c>
    </row>
    <row r="16" spans="1:9" ht="15" customHeight="1" x14ac:dyDescent="0.35">
      <c r="C16" s="62">
        <v>7</v>
      </c>
      <c r="D16" s="202" t="str">
        <f>+'COA-301 N'!D19:E19</f>
        <v>Condori Titichoca Dieter Jherson</v>
      </c>
      <c r="E16" s="202"/>
      <c r="F16" s="63"/>
      <c r="G16" s="63"/>
      <c r="H16" s="63" t="str">
        <f t="shared" si="0"/>
        <v>REPPROBADO</v>
      </c>
    </row>
    <row r="17" spans="3:8" ht="15" customHeight="1" x14ac:dyDescent="0.35">
      <c r="C17" s="62">
        <v>8</v>
      </c>
      <c r="D17" s="202" t="str">
        <f>+'COA-301 N'!D20:E20</f>
        <v>Del Carpio Lora Marisela</v>
      </c>
      <c r="E17" s="202"/>
      <c r="F17" s="63"/>
      <c r="G17" s="63"/>
      <c r="H17" s="63" t="str">
        <f t="shared" si="0"/>
        <v>REPPROBADO</v>
      </c>
    </row>
    <row r="18" spans="3:8" ht="15" customHeight="1" x14ac:dyDescent="0.35">
      <c r="C18" s="62">
        <v>9</v>
      </c>
      <c r="D18" s="202" t="str">
        <f>+'COA-301 N'!D21:E21</f>
        <v>Felipez Veliz Ronald</v>
      </c>
      <c r="E18" s="202"/>
      <c r="F18" s="63"/>
      <c r="G18" s="63"/>
      <c r="H18" s="63"/>
    </row>
    <row r="19" spans="3:8" ht="15" customHeight="1" x14ac:dyDescent="0.35">
      <c r="C19" s="62">
        <v>10</v>
      </c>
      <c r="D19" s="202" t="str">
        <f>+'COA-301 N'!D22:E22</f>
        <v>Fulguera Callata Jonathan</v>
      </c>
      <c r="E19" s="202"/>
      <c r="F19" s="63"/>
      <c r="G19" s="63"/>
      <c r="H19" s="63"/>
    </row>
    <row r="20" spans="3:8" ht="15" customHeight="1" x14ac:dyDescent="0.35">
      <c r="C20" s="62">
        <v>11</v>
      </c>
      <c r="D20" s="202" t="str">
        <f>+'COA-301 N'!D23:E23</f>
        <v>Huarayo Cunurana Maribel</v>
      </c>
      <c r="E20" s="202"/>
      <c r="F20" s="63"/>
      <c r="G20" s="63"/>
      <c r="H20" s="63"/>
    </row>
    <row r="21" spans="3:8" ht="15" customHeight="1" x14ac:dyDescent="0.35">
      <c r="C21" s="62">
        <v>12</v>
      </c>
      <c r="D21" s="202" t="str">
        <f>+'COA-301 N'!D24:E24</f>
        <v>Jamillo Cruz Jenny Laura</v>
      </c>
      <c r="E21" s="202"/>
      <c r="F21" s="63"/>
      <c r="G21" s="63"/>
      <c r="H21" s="63"/>
    </row>
    <row r="22" spans="3:8" ht="15" customHeight="1" x14ac:dyDescent="0.35">
      <c r="C22" s="62">
        <v>13</v>
      </c>
      <c r="D22" s="202" t="str">
        <f>+'COA-301 N'!D25:E25</f>
        <v>Loaiza Lopez Jaime</v>
      </c>
      <c r="E22" s="202"/>
      <c r="F22" s="63"/>
      <c r="G22" s="63"/>
      <c r="H22" s="63"/>
    </row>
    <row r="23" spans="3:8" ht="15" customHeight="1" x14ac:dyDescent="0.35">
      <c r="C23" s="62">
        <v>14</v>
      </c>
      <c r="D23" s="202" t="str">
        <f>+'COA-301 N'!D26:E26</f>
        <v>Lopez Sausiri Luis Alberto</v>
      </c>
      <c r="E23" s="202"/>
      <c r="F23" s="63"/>
      <c r="G23" s="63"/>
      <c r="H23" s="63"/>
    </row>
    <row r="24" spans="3:8" ht="15" customHeight="1" x14ac:dyDescent="0.35">
      <c r="C24" s="62">
        <v>15</v>
      </c>
      <c r="D24" s="202" t="str">
        <f>+'COA-301 N'!D27:E27</f>
        <v>Martinez Mamani Gladis</v>
      </c>
      <c r="E24" s="202"/>
      <c r="F24" s="63"/>
      <c r="G24" s="63"/>
      <c r="H24" s="63"/>
    </row>
    <row r="25" spans="3:8" ht="15" customHeight="1" x14ac:dyDescent="0.35">
      <c r="C25" s="62">
        <v>16</v>
      </c>
      <c r="D25" s="202" t="str">
        <f>+'COA-301 N'!D28:E28</f>
        <v>Poma Condori Juan Luis</v>
      </c>
      <c r="E25" s="202"/>
      <c r="F25" s="63"/>
      <c r="G25" s="63"/>
      <c r="H25" s="63"/>
    </row>
    <row r="26" spans="3:8" ht="15" customHeight="1" x14ac:dyDescent="0.35">
      <c r="C26" s="62">
        <v>17</v>
      </c>
      <c r="D26" s="202" t="str">
        <f>+'COA-301 N'!D29:E29</f>
        <v>Puma Choque Veronica</v>
      </c>
      <c r="E26" s="202"/>
      <c r="F26" s="63"/>
      <c r="G26" s="63"/>
      <c r="H26" s="63"/>
    </row>
    <row r="27" spans="3:8" ht="14.25" customHeight="1" x14ac:dyDescent="0.35">
      <c r="C27" s="62">
        <v>18</v>
      </c>
      <c r="D27" s="202" t="str">
        <f>+'COA-301 N'!D30:E30</f>
        <v>Quinta Quisbert Melinda Cecilia</v>
      </c>
      <c r="E27" s="202"/>
      <c r="F27" s="63"/>
      <c r="G27" s="63"/>
      <c r="H27" s="63"/>
    </row>
    <row r="28" spans="3:8" ht="14.25" customHeight="1" x14ac:dyDescent="0.35">
      <c r="C28" s="62">
        <v>19</v>
      </c>
      <c r="D28" s="202" t="str">
        <f>+'COA-301 N'!D31:E31</f>
        <v>Quiñones Rueda Israel</v>
      </c>
      <c r="E28" s="202"/>
      <c r="F28" s="63"/>
      <c r="G28" s="63"/>
      <c r="H28" s="63"/>
    </row>
    <row r="29" spans="3:8" ht="14.25" customHeight="1" x14ac:dyDescent="0.35">
      <c r="C29" s="62">
        <v>20</v>
      </c>
      <c r="D29" s="202" t="str">
        <f>+'COA-301 N'!D32:E32</f>
        <v>Quispe Quispe Jorge Luis</v>
      </c>
      <c r="E29" s="202"/>
      <c r="F29" s="63"/>
      <c r="G29" s="63"/>
      <c r="H29" s="63"/>
    </row>
    <row r="30" spans="3:8" ht="14.25" customHeight="1" x14ac:dyDescent="0.35">
      <c r="C30" s="62">
        <v>21</v>
      </c>
      <c r="D30" s="202" t="str">
        <f>+'COA-301 N'!D33:E33</f>
        <v>Riva Loroño Jhoana Celina</v>
      </c>
      <c r="E30" s="202"/>
      <c r="F30" s="63"/>
      <c r="G30" s="63"/>
      <c r="H30" s="63"/>
    </row>
    <row r="31" spans="3:8" ht="14.25" customHeight="1" x14ac:dyDescent="0.35">
      <c r="C31" s="62">
        <v>22</v>
      </c>
      <c r="D31" s="202" t="str">
        <f>+'COA-301 N'!D34:E34</f>
        <v>Romero Rodriguez Victor Hugo</v>
      </c>
      <c r="E31" s="202"/>
      <c r="F31" s="63"/>
      <c r="G31" s="63"/>
      <c r="H31" s="63"/>
    </row>
    <row r="32" spans="3:8" ht="14.25" customHeight="1" x14ac:dyDescent="0.35">
      <c r="C32" s="62">
        <v>23</v>
      </c>
      <c r="D32" s="202" t="str">
        <f>+'COA-301 N'!D35:E35</f>
        <v>Santos Tola Carla Alejandra</v>
      </c>
      <c r="E32" s="202"/>
      <c r="F32" s="63"/>
      <c r="G32" s="63"/>
      <c r="H32" s="63"/>
    </row>
    <row r="33" spans="3:8" ht="14.25" customHeight="1" x14ac:dyDescent="0.35">
      <c r="C33" s="62">
        <v>24</v>
      </c>
      <c r="D33" s="202" t="str">
        <f>+'COA-301 N'!D36:E36</f>
        <v>Tito Yucra Leiddy Olimpia</v>
      </c>
      <c r="E33" s="202"/>
      <c r="F33" s="63"/>
      <c r="G33" s="63"/>
      <c r="H33" s="63"/>
    </row>
    <row r="34" spans="3:8" ht="14.25" customHeight="1" x14ac:dyDescent="0.35">
      <c r="C34" s="62">
        <v>25</v>
      </c>
      <c r="D34" s="202" t="str">
        <f>+'COA-301 N'!D37:E37</f>
        <v>Virreira Cano Nhataly Alizon</v>
      </c>
      <c r="E34" s="202"/>
      <c r="F34" s="63"/>
      <c r="G34" s="63"/>
      <c r="H34" s="63"/>
    </row>
    <row r="35" spans="3:8" x14ac:dyDescent="0.35">
      <c r="C35" s="62">
        <v>26</v>
      </c>
      <c r="D35" s="207"/>
      <c r="E35" s="207"/>
      <c r="F35" s="63"/>
      <c r="G35" s="63"/>
      <c r="H35" s="63"/>
    </row>
    <row r="36" spans="3:8" x14ac:dyDescent="0.35">
      <c r="C36" s="62">
        <v>27</v>
      </c>
      <c r="D36" s="185"/>
      <c r="E36" s="186"/>
      <c r="F36" s="63"/>
      <c r="G36" s="63"/>
      <c r="H36" s="63"/>
    </row>
    <row r="37" spans="3:8" x14ac:dyDescent="0.35">
      <c r="C37" s="62">
        <v>28</v>
      </c>
      <c r="D37" s="64"/>
      <c r="E37" s="65"/>
      <c r="F37" s="63"/>
      <c r="G37" s="63"/>
      <c r="H37" s="63"/>
    </row>
    <row r="38" spans="3:8" x14ac:dyDescent="0.35">
      <c r="C38" s="62">
        <v>29</v>
      </c>
      <c r="D38" s="185"/>
      <c r="E38" s="186"/>
      <c r="F38" s="63"/>
      <c r="G38" s="63"/>
      <c r="H38" s="63"/>
    </row>
    <row r="39" spans="3:8" x14ac:dyDescent="0.35">
      <c r="C39" s="62">
        <v>30</v>
      </c>
      <c r="D39" s="185"/>
      <c r="E39" s="186"/>
      <c r="F39" s="63"/>
      <c r="G39" s="63"/>
      <c r="H39" s="63"/>
    </row>
    <row r="40" spans="3:8" x14ac:dyDescent="0.35">
      <c r="C40" s="62">
        <v>31</v>
      </c>
      <c r="D40" s="185"/>
      <c r="E40" s="186"/>
      <c r="F40" s="63"/>
      <c r="G40" s="63"/>
      <c r="H40" s="63"/>
    </row>
    <row r="41" spans="3:8" x14ac:dyDescent="0.35">
      <c r="C41" s="62">
        <v>32</v>
      </c>
      <c r="D41" s="185"/>
      <c r="E41" s="186"/>
      <c r="F41" s="63"/>
      <c r="G41" s="63"/>
      <c r="H41" s="63"/>
    </row>
    <row r="42" spans="3:8" x14ac:dyDescent="0.35">
      <c r="C42" s="62">
        <v>33</v>
      </c>
      <c r="D42" s="66"/>
      <c r="E42" s="67"/>
      <c r="F42" s="63"/>
      <c r="G42" s="63"/>
      <c r="H42" s="63"/>
    </row>
    <row r="43" spans="3:8" x14ac:dyDescent="0.35">
      <c r="C43" s="62">
        <v>34</v>
      </c>
      <c r="D43" s="185"/>
      <c r="E43" s="186"/>
      <c r="F43" s="63"/>
      <c r="G43" s="63"/>
      <c r="H43" s="63"/>
    </row>
    <row r="44" spans="3:8" ht="15" customHeight="1" x14ac:dyDescent="0.35">
      <c r="C44" s="62">
        <v>35</v>
      </c>
      <c r="D44" s="187"/>
      <c r="E44" s="187"/>
      <c r="F44" s="63"/>
      <c r="G44" s="63"/>
      <c r="H44" s="63"/>
    </row>
    <row r="47" spans="3:8" ht="17.25" customHeight="1" x14ac:dyDescent="0.35">
      <c r="C47" s="188" t="s">
        <v>83</v>
      </c>
      <c r="D47" s="188"/>
      <c r="E47" s="188"/>
    </row>
    <row r="48" spans="3:8" ht="14.25" customHeight="1" x14ac:dyDescent="0.35">
      <c r="C48" s="182" t="s">
        <v>142</v>
      </c>
      <c r="D48" s="182"/>
      <c r="E48" s="68"/>
    </row>
    <row r="49" spans="1:9" ht="13.5" customHeight="1" x14ac:dyDescent="0.35">
      <c r="C49" s="182" t="s">
        <v>143</v>
      </c>
      <c r="D49" s="182"/>
      <c r="E49" s="68"/>
    </row>
    <row r="50" spans="1:9" ht="15" customHeight="1" x14ac:dyDescent="0.35">
      <c r="C50" s="182" t="s">
        <v>144</v>
      </c>
      <c r="D50" s="182"/>
      <c r="E50" s="68"/>
    </row>
    <row r="51" spans="1:9" x14ac:dyDescent="0.35">
      <c r="C51" s="69"/>
      <c r="D51" s="69"/>
      <c r="E51" s="1"/>
    </row>
    <row r="52" spans="1:9" x14ac:dyDescent="0.35">
      <c r="C52" s="69"/>
      <c r="D52" s="69"/>
      <c r="E52" s="1"/>
    </row>
    <row r="53" spans="1:9" x14ac:dyDescent="0.35">
      <c r="C53" s="69"/>
      <c r="D53" s="69"/>
      <c r="E53" s="1"/>
    </row>
    <row r="54" spans="1:9" x14ac:dyDescent="0.35">
      <c r="C54" s="69"/>
      <c r="D54" s="69"/>
      <c r="E54" s="1"/>
    </row>
    <row r="55" spans="1:9" x14ac:dyDescent="0.35">
      <c r="C55" s="69"/>
      <c r="D55" s="69"/>
      <c r="E55" s="1"/>
    </row>
    <row r="56" spans="1:9" x14ac:dyDescent="0.35">
      <c r="A56" s="70"/>
      <c r="B56" s="70"/>
      <c r="C56" s="183" t="s">
        <v>145</v>
      </c>
      <c r="D56" s="183"/>
      <c r="E56" s="71"/>
      <c r="F56" s="72" t="s">
        <v>145</v>
      </c>
      <c r="G56" s="70"/>
      <c r="H56" s="73" t="s">
        <v>146</v>
      </c>
      <c r="I56" s="70"/>
    </row>
    <row r="57" spans="1:9" x14ac:dyDescent="0.35">
      <c r="A57" s="70"/>
      <c r="B57" s="70"/>
      <c r="C57" s="183" t="s">
        <v>147</v>
      </c>
      <c r="D57" s="183"/>
      <c r="E57" s="71"/>
      <c r="F57" s="72" t="s">
        <v>148</v>
      </c>
      <c r="G57" s="70"/>
      <c r="H57" s="71" t="s">
        <v>149</v>
      </c>
      <c r="I57" s="70"/>
    </row>
    <row r="58" spans="1:9" x14ac:dyDescent="0.35">
      <c r="A58" s="70"/>
      <c r="B58" s="70"/>
      <c r="C58" s="72"/>
      <c r="D58" s="72"/>
      <c r="E58" s="71"/>
      <c r="F58" s="72"/>
      <c r="G58" s="70"/>
      <c r="H58" s="71"/>
      <c r="I58" s="70"/>
    </row>
    <row r="59" spans="1:9" x14ac:dyDescent="0.35">
      <c r="A59" s="70"/>
      <c r="B59" s="70"/>
      <c r="C59" s="72"/>
      <c r="D59" s="72"/>
      <c r="E59" s="71"/>
      <c r="F59" s="72"/>
      <c r="G59" s="70"/>
      <c r="H59" s="71"/>
      <c r="I59" s="70"/>
    </row>
    <row r="60" spans="1:9" x14ac:dyDescent="0.35">
      <c r="A60" s="70"/>
      <c r="B60" s="70"/>
      <c r="C60" s="72"/>
      <c r="D60" s="72"/>
      <c r="E60" s="71"/>
      <c r="F60" s="72"/>
      <c r="G60" s="70"/>
      <c r="H60" s="71"/>
      <c r="I60" s="70"/>
    </row>
    <row r="61" spans="1:9" x14ac:dyDescent="0.35">
      <c r="A61" s="70"/>
      <c r="B61" s="70"/>
      <c r="C61" s="183" t="s">
        <v>90</v>
      </c>
      <c r="D61" s="183"/>
      <c r="E61" s="71"/>
      <c r="F61" s="72" t="s">
        <v>150</v>
      </c>
      <c r="G61" s="70"/>
      <c r="H61" s="73" t="s">
        <v>151</v>
      </c>
      <c r="I61" s="70"/>
    </row>
    <row r="62" spans="1:9" s="74" customFormat="1" ht="15" customHeight="1" x14ac:dyDescent="0.35">
      <c r="A62" s="184" t="s">
        <v>152</v>
      </c>
      <c r="B62" s="184"/>
      <c r="C62" s="184"/>
      <c r="D62" s="184"/>
      <c r="E62" s="184"/>
      <c r="F62" s="184"/>
      <c r="G62" s="184"/>
      <c r="H62" s="184"/>
      <c r="I62" s="184"/>
    </row>
    <row r="63" spans="1:9" x14ac:dyDescent="0.35">
      <c r="C63" s="181"/>
      <c r="D63" s="181"/>
      <c r="E63" s="75"/>
      <c r="F63" s="69"/>
      <c r="H63" s="75"/>
    </row>
    <row r="64" spans="1:9" x14ac:dyDescent="0.35">
      <c r="C64" s="181"/>
      <c r="D64" s="181"/>
      <c r="E64" s="75"/>
      <c r="F64" s="69"/>
      <c r="H64" s="75"/>
    </row>
    <row r="65" spans="3:8" x14ac:dyDescent="0.35">
      <c r="C65" s="181"/>
      <c r="D65" s="181"/>
      <c r="E65" s="75"/>
      <c r="F65" s="69"/>
      <c r="H65" s="75"/>
    </row>
  </sheetData>
  <mergeCells count="51">
    <mergeCell ref="C3:H3"/>
    <mergeCell ref="A4:I4"/>
    <mergeCell ref="C5:F5"/>
    <mergeCell ref="G5:H5"/>
    <mergeCell ref="C7:E7"/>
    <mergeCell ref="F7:G7"/>
    <mergeCell ref="D20:E20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C48:D48"/>
    <mergeCell ref="D33:E33"/>
    <mergeCell ref="D34:E34"/>
    <mergeCell ref="D35:E35"/>
    <mergeCell ref="D36:E36"/>
    <mergeCell ref="D38:E38"/>
    <mergeCell ref="D39:E39"/>
    <mergeCell ref="D40:E40"/>
    <mergeCell ref="D41:E41"/>
    <mergeCell ref="D43:E43"/>
    <mergeCell ref="D44:E44"/>
    <mergeCell ref="C47:E47"/>
    <mergeCell ref="C63:D63"/>
    <mergeCell ref="C64:D64"/>
    <mergeCell ref="C65:D65"/>
    <mergeCell ref="C49:D49"/>
    <mergeCell ref="C50:D50"/>
    <mergeCell ref="C56:D56"/>
    <mergeCell ref="C57:D57"/>
    <mergeCell ref="C61:D61"/>
    <mergeCell ref="A62:I62"/>
  </mergeCells>
  <pageMargins left="0.70866141732283472" right="0.70866141732283472" top="0.35433070866141736" bottom="0.35433070866141736" header="0.31496062992125984" footer="0.31496062992125984"/>
  <pageSetup scale="7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'[1]LISTA 2'!#REF!</xm:f>
          </x14:formula1>
          <xm:sqref>A4:I4</xm:sqref>
        </x14:dataValidation>
        <x14:dataValidation type="list" allowBlank="1" showInputMessage="1" showErrorMessage="1">
          <x14:formula1>
            <xm:f>[1]Lista!#REF!</xm:f>
          </x14:formula1>
          <xm:sqref>G5:H5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0000"/>
  </sheetPr>
  <dimension ref="A1:K35"/>
  <sheetViews>
    <sheetView showGridLines="0" showRowColHeaders="0" workbookViewId="0">
      <selection activeCell="C8" sqref="C8"/>
    </sheetView>
  </sheetViews>
  <sheetFormatPr baseColWidth="10" defaultRowHeight="14.5" x14ac:dyDescent="0.35"/>
  <cols>
    <col min="1" max="1" width="85.54296875" customWidth="1"/>
    <col min="3" max="3" width="20.7265625" customWidth="1"/>
  </cols>
  <sheetData>
    <row r="1" spans="1:11" ht="25" customHeight="1" x14ac:dyDescent="0.5">
      <c r="A1" s="20" t="s">
        <v>45</v>
      </c>
      <c r="B1" s="21"/>
      <c r="C1" s="21" t="s">
        <v>46</v>
      </c>
      <c r="D1" s="21"/>
      <c r="E1" s="21" t="s">
        <v>53</v>
      </c>
      <c r="F1" s="21"/>
      <c r="G1" s="21" t="s">
        <v>56</v>
      </c>
      <c r="H1" s="21"/>
      <c r="I1" s="21" t="s">
        <v>64</v>
      </c>
      <c r="J1" s="8"/>
      <c r="K1" s="8" t="s">
        <v>75</v>
      </c>
    </row>
    <row r="2" spans="1:11" ht="25" customHeight="1" x14ac:dyDescent="0.35">
      <c r="A2" s="22" t="s">
        <v>15</v>
      </c>
      <c r="B2" s="21"/>
      <c r="C2" s="21" t="s">
        <v>47</v>
      </c>
      <c r="D2" s="21"/>
      <c r="E2" s="21" t="s">
        <v>54</v>
      </c>
      <c r="F2" s="21"/>
      <c r="G2" s="21" t="s">
        <v>57</v>
      </c>
      <c r="H2" s="21"/>
      <c r="I2" s="21" t="s">
        <v>6</v>
      </c>
      <c r="J2" s="8"/>
      <c r="K2" s="8">
        <v>2014</v>
      </c>
    </row>
    <row r="3" spans="1:11" ht="25" customHeight="1" x14ac:dyDescent="0.35">
      <c r="A3" s="22" t="s">
        <v>16</v>
      </c>
      <c r="B3" s="21"/>
      <c r="C3" s="21" t="s">
        <v>48</v>
      </c>
      <c r="D3" s="21"/>
      <c r="E3" s="21" t="s">
        <v>55</v>
      </c>
      <c r="F3" s="21"/>
      <c r="G3" s="21" t="s">
        <v>58</v>
      </c>
      <c r="H3" s="21"/>
      <c r="I3" s="21" t="s">
        <v>65</v>
      </c>
      <c r="J3" s="8"/>
      <c r="K3" s="8">
        <v>2015</v>
      </c>
    </row>
    <row r="4" spans="1:11" ht="25" customHeight="1" x14ac:dyDescent="0.35">
      <c r="A4" s="22" t="s">
        <v>17</v>
      </c>
      <c r="B4" s="21"/>
      <c r="C4" s="21" t="s">
        <v>63</v>
      </c>
      <c r="D4" s="23"/>
      <c r="E4" s="21"/>
      <c r="F4" s="21"/>
      <c r="G4" s="21" t="s">
        <v>59</v>
      </c>
      <c r="H4" s="21"/>
      <c r="I4" s="21" t="s">
        <v>66</v>
      </c>
      <c r="J4" s="8"/>
      <c r="K4" s="8">
        <v>2016</v>
      </c>
    </row>
    <row r="5" spans="1:11" ht="25" customHeight="1" x14ac:dyDescent="0.35">
      <c r="A5" s="22" t="s">
        <v>18</v>
      </c>
      <c r="B5" s="21"/>
      <c r="C5" s="21"/>
      <c r="D5" s="21"/>
      <c r="E5" s="21"/>
      <c r="F5" s="21"/>
      <c r="G5" s="21"/>
      <c r="H5" s="21"/>
      <c r="I5" s="21"/>
      <c r="J5" s="8"/>
      <c r="K5" s="8">
        <v>2017</v>
      </c>
    </row>
    <row r="6" spans="1:11" ht="25" customHeight="1" x14ac:dyDescent="0.35">
      <c r="A6" s="24" t="s">
        <v>60</v>
      </c>
      <c r="B6" s="21"/>
      <c r="C6" s="21"/>
      <c r="D6" s="21"/>
      <c r="E6" s="21"/>
      <c r="F6" s="21"/>
      <c r="G6" s="21"/>
      <c r="H6" s="21"/>
      <c r="I6" s="21"/>
      <c r="J6" s="8"/>
      <c r="K6" s="8">
        <v>2018</v>
      </c>
    </row>
    <row r="7" spans="1:11" ht="25" customHeight="1" x14ac:dyDescent="0.35">
      <c r="A7" s="22" t="s">
        <v>19</v>
      </c>
      <c r="B7" s="21"/>
      <c r="C7" s="21"/>
      <c r="D7" s="21"/>
      <c r="E7" s="21"/>
      <c r="F7" s="21"/>
      <c r="G7" s="21"/>
      <c r="H7" s="21"/>
      <c r="I7" s="21"/>
      <c r="J7" s="8"/>
      <c r="K7" s="8">
        <v>2019</v>
      </c>
    </row>
    <row r="8" spans="1:11" ht="25" customHeight="1" x14ac:dyDescent="0.35">
      <c r="A8" s="22" t="s">
        <v>20</v>
      </c>
      <c r="B8" s="21"/>
      <c r="C8" s="21"/>
      <c r="D8" s="21"/>
      <c r="E8" s="21"/>
      <c r="F8" s="21"/>
      <c r="G8" s="21"/>
      <c r="H8" s="21"/>
      <c r="I8" s="21"/>
      <c r="J8" s="8"/>
      <c r="K8" s="8">
        <v>2020</v>
      </c>
    </row>
    <row r="9" spans="1:11" ht="25" customHeight="1" x14ac:dyDescent="0.35">
      <c r="A9" s="22" t="s">
        <v>21</v>
      </c>
      <c r="B9" s="21"/>
      <c r="C9" s="21"/>
      <c r="D9" s="21"/>
      <c r="E9" s="21"/>
      <c r="F9" s="21"/>
      <c r="G9" s="21"/>
      <c r="H9" s="21"/>
      <c r="I9" s="21"/>
      <c r="J9" s="8"/>
      <c r="K9" s="8">
        <v>2021</v>
      </c>
    </row>
    <row r="10" spans="1:11" ht="25" customHeight="1" x14ac:dyDescent="0.35">
      <c r="A10" s="22" t="s">
        <v>22</v>
      </c>
      <c r="B10" s="21"/>
      <c r="C10" s="21"/>
      <c r="D10" s="21"/>
      <c r="E10" s="21"/>
      <c r="F10" s="21"/>
      <c r="G10" s="21"/>
      <c r="H10" s="21"/>
      <c r="I10" s="21"/>
      <c r="J10" s="8"/>
      <c r="K10" s="8">
        <v>2022</v>
      </c>
    </row>
    <row r="11" spans="1:11" ht="25" customHeight="1" x14ac:dyDescent="0.35">
      <c r="A11" s="22" t="s">
        <v>23</v>
      </c>
      <c r="B11" s="21"/>
      <c r="C11" s="21"/>
      <c r="D11" s="21"/>
      <c r="E11" s="21"/>
      <c r="F11" s="21"/>
      <c r="G11" s="21"/>
      <c r="H11" s="21"/>
      <c r="I11" s="21"/>
      <c r="J11" s="8"/>
      <c r="K11" s="8">
        <v>2023</v>
      </c>
    </row>
    <row r="12" spans="1:11" ht="25" customHeight="1" x14ac:dyDescent="0.35">
      <c r="A12" s="22" t="s">
        <v>24</v>
      </c>
      <c r="B12" s="21"/>
      <c r="C12" s="21"/>
      <c r="D12" s="21"/>
      <c r="E12" s="21"/>
      <c r="F12" s="21"/>
      <c r="G12" s="21"/>
      <c r="H12" s="21"/>
      <c r="I12" s="21"/>
      <c r="J12" s="8"/>
      <c r="K12" s="8">
        <v>2024</v>
      </c>
    </row>
    <row r="13" spans="1:11" ht="25" customHeight="1" x14ac:dyDescent="0.35">
      <c r="A13" s="22" t="s">
        <v>25</v>
      </c>
      <c r="B13" s="21"/>
      <c r="C13" s="21"/>
      <c r="D13" s="21"/>
      <c r="E13" s="21"/>
      <c r="F13" s="21"/>
      <c r="G13" s="21"/>
      <c r="H13" s="21"/>
      <c r="I13" s="21"/>
      <c r="J13" s="8"/>
      <c r="K13" s="8">
        <v>2025</v>
      </c>
    </row>
    <row r="14" spans="1:11" ht="25" customHeight="1" x14ac:dyDescent="0.35">
      <c r="A14" s="22" t="s">
        <v>26</v>
      </c>
      <c r="B14" s="21"/>
      <c r="C14" s="21"/>
      <c r="D14" s="21"/>
      <c r="E14" s="21"/>
      <c r="F14" s="21"/>
      <c r="G14" s="21"/>
      <c r="H14" s="21"/>
      <c r="I14" s="21"/>
      <c r="J14" s="8"/>
      <c r="K14" s="8">
        <v>2026</v>
      </c>
    </row>
    <row r="15" spans="1:11" ht="25" customHeight="1" x14ac:dyDescent="0.35">
      <c r="A15" s="22" t="s">
        <v>27</v>
      </c>
      <c r="B15" s="21"/>
      <c r="C15" s="21"/>
      <c r="D15" s="21"/>
      <c r="E15" s="21"/>
      <c r="F15" s="21"/>
      <c r="G15" s="21"/>
      <c r="H15" s="21"/>
      <c r="I15" s="21"/>
      <c r="J15" s="8"/>
      <c r="K15" s="8">
        <v>2027</v>
      </c>
    </row>
    <row r="16" spans="1:11" ht="25" customHeight="1" x14ac:dyDescent="0.35">
      <c r="A16" s="25" t="s">
        <v>28</v>
      </c>
      <c r="B16" s="21"/>
      <c r="C16" s="21"/>
      <c r="D16" s="21"/>
      <c r="E16" s="21"/>
      <c r="F16" s="21"/>
      <c r="G16" s="21"/>
      <c r="H16" s="21"/>
      <c r="I16" s="21"/>
      <c r="J16" s="8"/>
      <c r="K16" s="8">
        <v>2028</v>
      </c>
    </row>
    <row r="17" spans="1:11" ht="25" customHeight="1" x14ac:dyDescent="0.35">
      <c r="A17" s="22" t="s">
        <v>29</v>
      </c>
      <c r="B17" s="21"/>
      <c r="C17" s="21"/>
      <c r="D17" s="21"/>
      <c r="E17" s="21"/>
      <c r="F17" s="21"/>
      <c r="G17" s="21"/>
      <c r="H17" s="21"/>
      <c r="I17" s="21"/>
      <c r="J17" s="8"/>
      <c r="K17" s="8">
        <v>2029</v>
      </c>
    </row>
    <row r="18" spans="1:11" x14ac:dyDescent="0.35">
      <c r="A18" s="22" t="s">
        <v>30</v>
      </c>
      <c r="B18" s="21"/>
      <c r="C18" s="21"/>
      <c r="D18" s="21"/>
      <c r="E18" s="21"/>
      <c r="F18" s="21"/>
      <c r="G18" s="21"/>
      <c r="H18" s="21"/>
      <c r="I18" s="21"/>
      <c r="J18" s="8"/>
      <c r="K18" s="8">
        <v>2030</v>
      </c>
    </row>
    <row r="19" spans="1:11" x14ac:dyDescent="0.35">
      <c r="A19" s="22" t="s">
        <v>31</v>
      </c>
      <c r="B19" s="21"/>
      <c r="C19" s="21"/>
      <c r="D19" s="21"/>
      <c r="E19" s="21"/>
      <c r="F19" s="21"/>
      <c r="G19" s="21"/>
      <c r="H19" s="21"/>
      <c r="I19" s="21"/>
      <c r="J19" s="8"/>
      <c r="K19" s="8">
        <v>2031</v>
      </c>
    </row>
    <row r="20" spans="1:11" x14ac:dyDescent="0.35">
      <c r="A20" s="25" t="s">
        <v>32</v>
      </c>
      <c r="B20" s="21"/>
      <c r="C20" s="21"/>
      <c r="D20" s="21"/>
      <c r="E20" s="21"/>
      <c r="F20" s="21"/>
      <c r="G20" s="21"/>
      <c r="H20" s="21"/>
      <c r="I20" s="21"/>
      <c r="J20" s="8"/>
      <c r="K20" s="8">
        <v>2032</v>
      </c>
    </row>
    <row r="21" spans="1:11" x14ac:dyDescent="0.35">
      <c r="A21" s="25" t="s">
        <v>33</v>
      </c>
      <c r="B21" s="21"/>
      <c r="C21" s="21"/>
      <c r="D21" s="21"/>
      <c r="E21" s="21"/>
      <c r="F21" s="21"/>
      <c r="G21" s="21"/>
      <c r="H21" s="21"/>
      <c r="I21" s="21"/>
      <c r="J21" s="8"/>
      <c r="K21" s="8">
        <v>2033</v>
      </c>
    </row>
    <row r="22" spans="1:11" x14ac:dyDescent="0.35">
      <c r="A22" s="24" t="s">
        <v>34</v>
      </c>
      <c r="B22" s="21"/>
      <c r="C22" s="21"/>
      <c r="D22" s="21"/>
      <c r="E22" s="21"/>
      <c r="F22" s="21"/>
      <c r="G22" s="21"/>
      <c r="H22" s="21"/>
      <c r="I22" s="21"/>
      <c r="J22" s="8"/>
      <c r="K22" s="8">
        <v>2034</v>
      </c>
    </row>
    <row r="23" spans="1:11" x14ac:dyDescent="0.35">
      <c r="A23" s="22" t="s">
        <v>35</v>
      </c>
      <c r="B23" s="21"/>
      <c r="C23" s="21"/>
      <c r="D23" s="21"/>
      <c r="E23" s="21"/>
      <c r="F23" s="21"/>
      <c r="G23" s="21"/>
      <c r="H23" s="21"/>
      <c r="I23" s="21"/>
      <c r="J23" s="8"/>
      <c r="K23" s="8">
        <v>2035</v>
      </c>
    </row>
    <row r="24" spans="1:11" x14ac:dyDescent="0.35">
      <c r="A24" s="22" t="s">
        <v>36</v>
      </c>
      <c r="B24" s="21"/>
      <c r="C24" s="21"/>
      <c r="D24" s="21"/>
      <c r="E24" s="21"/>
      <c r="F24" s="21"/>
      <c r="G24" s="21"/>
      <c r="H24" s="21"/>
      <c r="I24" s="21"/>
      <c r="J24" s="8"/>
      <c r="K24" s="8">
        <v>2036</v>
      </c>
    </row>
    <row r="25" spans="1:11" x14ac:dyDescent="0.35">
      <c r="A25" s="22" t="s">
        <v>37</v>
      </c>
      <c r="B25" s="21"/>
      <c r="C25" s="21"/>
      <c r="D25" s="21"/>
      <c r="E25" s="21"/>
      <c r="F25" s="21"/>
      <c r="G25" s="21"/>
      <c r="H25" s="21"/>
      <c r="I25" s="21"/>
      <c r="J25" s="8"/>
      <c r="K25" s="8">
        <v>2037</v>
      </c>
    </row>
    <row r="26" spans="1:11" x14ac:dyDescent="0.35">
      <c r="A26" s="22" t="s">
        <v>39</v>
      </c>
      <c r="B26" s="21"/>
      <c r="C26" s="21"/>
      <c r="D26" s="21"/>
      <c r="E26" s="21"/>
      <c r="F26" s="21"/>
      <c r="G26" s="21"/>
      <c r="H26" s="21"/>
      <c r="I26" s="21"/>
      <c r="J26" s="8"/>
      <c r="K26" s="8">
        <v>2038</v>
      </c>
    </row>
    <row r="27" spans="1:11" x14ac:dyDescent="0.35">
      <c r="A27" s="25" t="s">
        <v>40</v>
      </c>
      <c r="B27" s="21"/>
      <c r="C27" s="21"/>
      <c r="D27" s="21"/>
      <c r="E27" s="21"/>
      <c r="F27" s="21"/>
      <c r="G27" s="21"/>
      <c r="H27" s="21"/>
      <c r="I27" s="21"/>
      <c r="J27" s="8"/>
      <c r="K27" s="8">
        <v>2039</v>
      </c>
    </row>
    <row r="28" spans="1:11" x14ac:dyDescent="0.35">
      <c r="A28" s="22" t="s">
        <v>41</v>
      </c>
      <c r="B28" s="21"/>
      <c r="C28" s="21"/>
      <c r="D28" s="21"/>
      <c r="E28" s="21"/>
      <c r="F28" s="21"/>
      <c r="G28" s="21"/>
      <c r="H28" s="21"/>
      <c r="I28" s="21"/>
      <c r="J28" s="8"/>
      <c r="K28" s="8">
        <v>2040</v>
      </c>
    </row>
    <row r="29" spans="1:11" x14ac:dyDescent="0.35">
      <c r="A29" s="22" t="s">
        <v>42</v>
      </c>
      <c r="B29" s="21"/>
      <c r="C29" s="21"/>
      <c r="D29" s="8"/>
      <c r="E29" s="8"/>
      <c r="F29" s="8"/>
      <c r="G29" s="8"/>
      <c r="H29" s="8"/>
      <c r="I29" s="8"/>
      <c r="J29" s="8"/>
      <c r="K29" s="8">
        <v>2041</v>
      </c>
    </row>
    <row r="30" spans="1:11" x14ac:dyDescent="0.35">
      <c r="A30" s="22" t="s">
        <v>43</v>
      </c>
      <c r="B30" s="21"/>
      <c r="C30" s="21"/>
    </row>
    <row r="31" spans="1:11" x14ac:dyDescent="0.35">
      <c r="A31" s="22" t="s">
        <v>38</v>
      </c>
      <c r="B31" s="21"/>
      <c r="C31" s="21"/>
    </row>
    <row r="32" spans="1:11" x14ac:dyDescent="0.35">
      <c r="A32" s="22" t="s">
        <v>44</v>
      </c>
      <c r="B32" s="21"/>
      <c r="C32" s="21"/>
    </row>
    <row r="33" spans="1:3" x14ac:dyDescent="0.35">
      <c r="A33" s="22" t="s">
        <v>61</v>
      </c>
      <c r="B33" s="21"/>
      <c r="C33" s="21"/>
    </row>
    <row r="34" spans="1:3" x14ac:dyDescent="0.35">
      <c r="A34" s="22" t="s">
        <v>62</v>
      </c>
      <c r="B34" s="21"/>
      <c r="C34" s="21"/>
    </row>
    <row r="35" spans="1:3" x14ac:dyDescent="0.35">
      <c r="A35" s="29"/>
      <c r="B35" s="21"/>
      <c r="C35" s="21"/>
    </row>
  </sheetData>
  <sheetProtection algorithmName="SHA-512" hashValue="Id4NFO7AFlrGxnGL2cBdDGp/XG43BVgLpod5Du1X1YbIDlVdQ662bdpulWqPBqyq0WEr3zRWi/ARn7CN1cAeyw==" saltValue="aE8+5raidBDkFVufjR+9wQ==" spinCount="100000" sheet="1" objects="1" scenarios="1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31</vt:i4>
      </vt:variant>
    </vt:vector>
  </HeadingPairs>
  <TitlesOfParts>
    <vt:vector size="63" baseType="lpstr">
      <vt:lpstr>Centralizador 3er año Maña</vt:lpstr>
      <vt:lpstr>COA-301</vt:lpstr>
      <vt:lpstr>COC-302</vt:lpstr>
      <vt:lpstr>COG-303</vt:lpstr>
      <vt:lpstr>CEP.304</vt:lpstr>
      <vt:lpstr>CSH-305</vt:lpstr>
      <vt:lpstr>GCI-306</vt:lpstr>
      <vt:lpstr>AEF-307</vt:lpstr>
      <vt:lpstr>TMG-308</vt:lpstr>
      <vt:lpstr>Centralizador 3er año Tarde</vt:lpstr>
      <vt:lpstr>COA-301 T</vt:lpstr>
      <vt:lpstr>COC-302 T</vt:lpstr>
      <vt:lpstr>COG-303 T</vt:lpstr>
      <vt:lpstr>CEP-304 T</vt:lpstr>
      <vt:lpstr>CSH-305 T</vt:lpstr>
      <vt:lpstr>GCI-306 T</vt:lpstr>
      <vt:lpstr>AEF-307 T</vt:lpstr>
      <vt:lpstr>TMG-308 T</vt:lpstr>
      <vt:lpstr>Centralizador 3er año Noche</vt:lpstr>
      <vt:lpstr>COA-301 N</vt:lpstr>
      <vt:lpstr>COC-302 N</vt:lpstr>
      <vt:lpstr>COG-303 N</vt:lpstr>
      <vt:lpstr>CEP-304 N</vt:lpstr>
      <vt:lpstr>CSH-305 N</vt:lpstr>
      <vt:lpstr>GCI-306 N</vt:lpstr>
      <vt:lpstr>AEF-307 N</vt:lpstr>
      <vt:lpstr>TMG-308 N</vt:lpstr>
      <vt:lpstr>Det-Resultado exa-grado maña</vt:lpstr>
      <vt:lpstr>Det-Resultado exa-grado tarde</vt:lpstr>
      <vt:lpstr>Det-Resultado exa-grado noche</vt:lpstr>
      <vt:lpstr>Lista</vt:lpstr>
      <vt:lpstr>Hoja1</vt:lpstr>
      <vt:lpstr>'AEF-307'!Área_de_impresión</vt:lpstr>
      <vt:lpstr>'AEF-307 N'!Área_de_impresión</vt:lpstr>
      <vt:lpstr>'AEF-307 T'!Área_de_impresión</vt:lpstr>
      <vt:lpstr>'Centralizador 3er año Maña'!Área_de_impresión</vt:lpstr>
      <vt:lpstr>'Centralizador 3er año Noche'!Área_de_impresión</vt:lpstr>
      <vt:lpstr>'Centralizador 3er año Tarde'!Área_de_impresión</vt:lpstr>
      <vt:lpstr>CEP.304!Área_de_impresión</vt:lpstr>
      <vt:lpstr>'CEP-304 N'!Área_de_impresión</vt:lpstr>
      <vt:lpstr>'CEP-304 T'!Área_de_impresión</vt:lpstr>
      <vt:lpstr>'COA-301'!Área_de_impresión</vt:lpstr>
      <vt:lpstr>'COA-301 N'!Área_de_impresión</vt:lpstr>
      <vt:lpstr>'COA-301 T'!Área_de_impresión</vt:lpstr>
      <vt:lpstr>'COC-302'!Área_de_impresión</vt:lpstr>
      <vt:lpstr>'COC-302 N'!Área_de_impresión</vt:lpstr>
      <vt:lpstr>'COC-302 T'!Área_de_impresión</vt:lpstr>
      <vt:lpstr>'COG-303'!Área_de_impresión</vt:lpstr>
      <vt:lpstr>'COG-303 N'!Área_de_impresión</vt:lpstr>
      <vt:lpstr>'COG-303 T'!Área_de_impresión</vt:lpstr>
      <vt:lpstr>'CSH-305'!Área_de_impresión</vt:lpstr>
      <vt:lpstr>'CSH-305 N'!Área_de_impresión</vt:lpstr>
      <vt:lpstr>'CSH-305 T'!Área_de_impresión</vt:lpstr>
      <vt:lpstr>'Det-Resultado exa-grado maña'!Área_de_impresión</vt:lpstr>
      <vt:lpstr>'Det-Resultado exa-grado noche'!Área_de_impresión</vt:lpstr>
      <vt:lpstr>'Det-Resultado exa-grado tarde'!Área_de_impresión</vt:lpstr>
      <vt:lpstr>'GCI-306'!Área_de_impresión</vt:lpstr>
      <vt:lpstr>'GCI-306 N'!Área_de_impresión</vt:lpstr>
      <vt:lpstr>'GCI-306 T'!Área_de_impresión</vt:lpstr>
      <vt:lpstr>'TMG-308'!Área_de_impresión</vt:lpstr>
      <vt:lpstr>'TMG-308 N'!Área_de_impresión</vt:lpstr>
      <vt:lpstr>'TMG-308 T'!Área_de_impresión</vt:lpstr>
      <vt:lpstr>Institutos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Karen Meneses</dc:creator>
  <cp:lastModifiedBy>HP</cp:lastModifiedBy>
  <cp:lastPrinted>2022-12-09T18:26:04Z</cp:lastPrinted>
  <dcterms:created xsi:type="dcterms:W3CDTF">2017-06-06T12:51:55Z</dcterms:created>
  <dcterms:modified xsi:type="dcterms:W3CDTF">2022-12-09T18:31:20Z</dcterms:modified>
</cp:coreProperties>
</file>